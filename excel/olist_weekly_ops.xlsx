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9F61A114-0197-4A05-B1F6-A17C759E65F0}" xr6:coauthVersionLast="47" xr6:coauthVersionMax="47" xr10:uidLastSave="{00000000-0000-0000-0000-000000000000}"/>
  <bookViews>
    <workbookView xWindow="-110" yWindow="-110" windowWidth="25820" windowHeight="14020" xr2:uid="{BA506935-0D69-4EF6-AEBC-85C37BF70B70}"/>
  </bookViews>
  <sheets>
    <sheet name="Read Me" sheetId="1" r:id="rId1"/>
    <sheet name="Weekly Summary" sheetId="2" r:id="rId2"/>
    <sheet name="Route Diagnosis" sheetId="3" r:id="rId3"/>
    <sheet name="Exceptions" sheetId="4" r:id="rId4"/>
    <sheet name="Exception Pivot" sheetId="5" r:id="rId5"/>
    <sheet name="Reconciliation" sheetId="6" r:id="rId6"/>
    <sheet name="Run Info" sheetId="7" r:id="rId7"/>
  </sheets>
  <definedNames>
    <definedName name="ExternalData_1" localSheetId="3" hidden="1">Exceptions!$A$4:$AA$606</definedName>
    <definedName name="ExternalData_1" localSheetId="5" hidden="1">Reconciliation!$A$4:$M$19</definedName>
    <definedName name="ExternalData_1" localSheetId="2" hidden="1">'Route Diagnosis'!$A$4:$Q$121</definedName>
    <definedName name="ExternalData_1" localSheetId="6" hidden="1">'Run Info'!$A$4:$B$23</definedName>
    <definedName name="ExternalData_1" localSheetId="1" hidden="1">'Weekly Summary'!$A$4:$J$26</definedName>
    <definedName name="OutputFolder">'Read Me'!$B$6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9D656-5AEB-442F-99A0-4BD943659822}" keepAlive="1" name="Query - Exceptions" type="5" refreshedVersion="8" saveData="1">
    <dbPr connection="Provider=Microsoft.Mashup.OleDb.1;Data Source=$Workbook$;Location=Exceptions;Extended Properties=&quot;&quot;" command="SELECT * FROM [Exceptions]"/>
  </connection>
  <connection id="2" xr16:uid="{46593918-0442-42F1-9576-8392EDC22AF9}" keepAlive="1" name="Query - Exceptions1" type="5" refreshedVersion="8" saveData="1">
    <dbPr connection="Provider=Microsoft.Mashup.OleDb.1;Data Source=$Workbook$;Location=Exceptions;Extended Properties=&quot;&quot;" command="SELECT * FROM [Exceptions]"/>
  </connection>
  <connection id="3" xr16:uid="{D2AC4F2F-F274-44C7-8F7C-F87835F80694}" keepAlive="1" name="Query - Reconciliation" type="5" refreshedVersion="8" saveData="1">
    <dbPr connection="Provider=Microsoft.Mashup.OleDb.1;Data Source=$Workbook$;Location=Reconciliation;Extended Properties=&quot;&quot;" command="SELECT * FROM [Reconciliation]"/>
  </connection>
  <connection id="4" xr16:uid="{DADDF1B7-0091-465B-9581-D18312DE8F17}" keepAlive="1" name="Query - RouteDiagnosis" type="5" refreshedVersion="8" saveData="1">
    <dbPr connection="Provider=Microsoft.Mashup.OleDb.1;Data Source=$Workbook$;Location=RouteDiagnosis;Extended Properties=&quot;&quot;" command="SELECT * FROM [RouteDiagnosis]"/>
  </connection>
  <connection id="5" xr16:uid="{0FEE4B85-E411-43A7-BBCD-E6AE0CA3207B}" keepAlive="1" name="Query - RunInfo" type="5" refreshedVersion="8" saveData="1">
    <dbPr connection="Provider=Microsoft.Mashup.OleDb.1;Data Source=$Workbook$;Location=RunInfo;Extended Properties=&quot;&quot;" command="SELECT * FROM [RunInfo]"/>
  </connection>
  <connection id="6" xr16:uid="{366FB833-D76E-409E-A353-F15A3752E1EB}" keepAlive="1" name="Query - WeeklySummary" type="5" refreshedVersion="8" saveData="1">
    <dbPr connection="Provider=Microsoft.Mashup.OleDb.1;Data Source=$Workbook$;Location=WeeklySummary;Extended Properties=&quot;&quot;" command="SELECT * FROM [WeeklySummary]"/>
  </connection>
</connections>
</file>

<file path=xl/sharedStrings.xml><?xml version="1.0" encoding="utf-8"?>
<sst xmlns="http://schemas.openxmlformats.org/spreadsheetml/2006/main" count="7459" uniqueCount="1639">
  <si>
    <t>Olist weekly delivery operations report</t>
  </si>
  <si>
    <t>Independent practice project on public historical data (2016-2018). Simulated requirements: no real client, users or go-live.</t>
  </si>
  <si>
    <t>Parameters</t>
  </si>
  <si>
    <t>Setting</t>
  </si>
  <si>
    <t>Value</t>
  </si>
  <si>
    <t>Output folder (Power Query source)</t>
  </si>
  <si>
    <t>Default = &lt;project&gt;\output\weekly\latest\ next to this workbook's excel\ folder. To use another folder, type its full path over the formula.</t>
  </si>
  <si>
    <t>Loaded cut-off date</t>
  </si>
  <si>
    <t>Loaded window</t>
  </si>
  <si>
    <t>Loaded run ID</t>
  </si>
  <si>
    <t>Reconciliation</t>
  </si>
  <si>
    <t>How to refresh</t>
  </si>
  <si>
    <t>In the project folder run:  python src/weekly_report.py --as-of YYYY-MM-DD   (publishes output\weekly\latest\ only if all checks pass)</t>
  </si>
  <si>
    <t>In Excel: Data &gt; Refresh All. All tables and the pivot reload from the latest CSVs; check that 'Loaded cut-off date' above changed.</t>
  </si>
  <si>
    <t>Open the Reconciliation sheet: every status should be PASS. Numbers equal the CSV/SQL output of the same run.</t>
  </si>
  <si>
    <t>Definitions</t>
  </si>
  <si>
    <t>Cut-off</t>
  </si>
  <si>
    <t>End of the cut-off day: only events timestamped before the next day 00:00 are used. Order status is never used (the data keep only the status at extraction).</t>
  </si>
  <si>
    <t>Window</t>
  </si>
  <si>
    <t>The window_days calendar days ending on the cut-off date, both ends inclusive (dataset-local dates, no time-zone conversion).</t>
  </si>
  <si>
    <t>Deliveries completed</t>
  </si>
  <si>
    <t>Orders delivered in the window. Late = delivered on a later calendar day than the estimated date.</t>
  </si>
  <si>
    <t>Open orders</t>
  </si>
  <si>
    <t>Purchased by the cut-off with no delivery recorded. 'Not yet due' orders have an unknown outcome and are never counted as on time.</t>
  </si>
  <si>
    <t>Exceptions</t>
  </si>
  <si>
    <t>Overdue rules R1-R3 (priority P1-P3 by days overdue) and early-warning rule R4 (P4). Suggested actions only.</t>
  </si>
  <si>
    <t>Money</t>
  </si>
  <si>
    <t>product_value = item prices, freight_value, payment_value (BRL). None of them is company revenue.</t>
  </si>
  <si>
    <t>Limits</t>
  </si>
  <si>
    <t>Cancellation dates are not in the data, so a listed order may already have been cancelled at the cut-off. Historical replay, not a live system.</t>
  </si>
  <si>
    <t>Sheets</t>
  </si>
  <si>
    <t>Weekly Summary</t>
  </si>
  <si>
    <t>Headline metrics of the loaded week</t>
  </si>
  <si>
    <t>Route Diagnosis</t>
  </si>
  <si>
    <t>Late rate by route with sample-size flag</t>
  </si>
  <si>
    <t>Ranked follow-up list with evidence and suggested action</t>
  </si>
  <si>
    <t>Exception Pivot</t>
  </si>
  <si>
    <t>Pivot table of exceptions by priority and rule (refreshes with the query)</t>
  </si>
  <si>
    <t>Checks against the existing data mart and between grains</t>
  </si>
  <si>
    <t>Run Info</t>
  </si>
  <si>
    <t>Parameters, code version and input checksums</t>
  </si>
  <si>
    <t>One row per metric. Sections A-D use different populations; see the definition column and the Read Me sheet.</t>
  </si>
  <si>
    <t>metric_order</t>
  </si>
  <si>
    <t>section</t>
  </si>
  <si>
    <t>metric</t>
  </si>
  <si>
    <t>display_value</t>
  </si>
  <si>
    <t>value</t>
  </si>
  <si>
    <t>unit</t>
  </si>
  <si>
    <t>definition</t>
  </si>
  <si>
    <t>as_of_date</t>
  </si>
  <si>
    <t>window_start</t>
  </si>
  <si>
    <t>window_end</t>
  </si>
  <si>
    <t>A. Orders placed in window</t>
  </si>
  <si>
    <t>Orders placed</t>
  </si>
  <si>
    <t>orders</t>
  </si>
  <si>
    <t>Orders with purchase date in the window (any later status)</t>
  </si>
  <si>
    <t>Orders with items</t>
  </si>
  <si>
    <t>Placed orders with at least one item row</t>
  </si>
  <si>
    <t>Item units</t>
  </si>
  <si>
    <t>items</t>
  </si>
  <si>
    <t>Item rows of placed orders</t>
  </si>
  <si>
    <t>Product value</t>
  </si>
  <si>
    <t>BRL</t>
  </si>
  <si>
    <t>Sum of item prices of placed orders</t>
  </si>
  <si>
    <t>Freight value</t>
  </si>
  <si>
    <t>Sum of item freight of placed orders</t>
  </si>
  <si>
    <t>Payment value</t>
  </si>
  <si>
    <t>Sum of payment rows of placed orders</t>
  </si>
  <si>
    <t>B. Deliveries completed in window</t>
  </si>
  <si>
    <t>Orders delivered</t>
  </si>
  <si>
    <t>Orders with customer delivery date in the window</t>
  </si>
  <si>
    <t>Late orders</t>
  </si>
  <si>
    <t>Delivered on a later calendar day than the estimated date</t>
  </si>
  <si>
    <t>Late rate</t>
  </si>
  <si>
    <t>rate</t>
  </si>
  <si>
    <t>Late orders / orders delivered</t>
  </si>
  <si>
    <t>Median delivery days</t>
  </si>
  <si>
    <t>14.0</t>
  </si>
  <si>
    <t>days</t>
  </si>
  <si>
    <t>Median days from purchase date to delivery date</t>
  </si>
  <si>
    <t>Median days late (late orders)</t>
  </si>
  <si>
    <t>Median days after the estimated date, late orders only</t>
  </si>
  <si>
    <t>C. Open orders at cut-off</t>
  </si>
  <si>
    <t>Purchased by the cut-off, no delivery recorded by the cut-off</t>
  </si>
  <si>
    <t>Not yet due (outcome unknown)</t>
  </si>
  <si>
    <t>Estimated date after the cut-off day; right-censored, not counted as on time</t>
  </si>
  <si>
    <t>Overdue (listed)</t>
  </si>
  <si>
    <t>Estimated date passed 1..max_overdue_days ago</t>
  </si>
  <si>
    <t>Overdue, became due this window</t>
  </si>
  <si>
    <t>Overdue orders whose estimated date falls in the window</t>
  </si>
  <si>
    <t>Stale overdue (status unknown)</t>
  </si>
  <si>
    <t>Estimated date passed more than max_overdue_days ago; not listed</t>
  </si>
  <si>
    <t>D. Follow-up list</t>
  </si>
  <si>
    <t>Exceptions listed</t>
  </si>
  <si>
    <t>Rows in the exceptions table (overdue + early warnings)</t>
  </si>
  <si>
    <t>P1 overdue</t>
  </si>
  <si>
    <t>days_overdue &gt;= p1_min_days_overdue</t>
  </si>
  <si>
    <t>P2 overdue</t>
  </si>
  <si>
    <t>days_overdue &gt;= p2_min_days_overdue</t>
  </si>
  <si>
    <t>P3 overdue</t>
  </si>
  <si>
    <t>Other overdue orders</t>
  </si>
  <si>
    <t>P4 early warnings</t>
  </si>
  <si>
    <t>Not yet due, seller ship-by date passed, not handed to carrier</t>
  </si>
  <si>
    <t>Product value of listed orders</t>
  </si>
  <si>
    <t>Sum of item prices of exception orders</t>
  </si>
  <si>
    <t>Deliveries completed in the window by seller state -&gt; customer state. Routes below the minimum sample are shown but not ranked.</t>
  </si>
  <si>
    <t>route</t>
  </si>
  <si>
    <t>origin_state</t>
  </si>
  <si>
    <t>destination_state</t>
  </si>
  <si>
    <t>is_interstate</t>
  </si>
  <si>
    <t>delivered_orders</t>
  </si>
  <si>
    <t>late_orders</t>
  </si>
  <si>
    <t>late_rate</t>
  </si>
  <si>
    <t>late_rate_vs_overall</t>
  </si>
  <si>
    <t>median_delivery_days</t>
  </si>
  <si>
    <t>product_value</t>
  </si>
  <si>
    <t>meets_min_sample</t>
  </si>
  <si>
    <t>sample_note</t>
  </si>
  <si>
    <t>late_rate_rank</t>
  </si>
  <si>
    <t>min_route_sample</t>
  </si>
  <si>
    <t>SP -&gt; RJ</t>
  </si>
  <si>
    <t>SP</t>
  </si>
  <si>
    <t>RJ</t>
  </si>
  <si>
    <t>OK</t>
  </si>
  <si>
    <t>SP -&gt; SC</t>
  </si>
  <si>
    <t>SC</t>
  </si>
  <si>
    <t>SP -&gt; GO</t>
  </si>
  <si>
    <t>GO</t>
  </si>
  <si>
    <t>SP -&gt; BA</t>
  </si>
  <si>
    <t>BA</t>
  </si>
  <si>
    <t>MG -&gt; SP</t>
  </si>
  <si>
    <t>MG</t>
  </si>
  <si>
    <t>SP -&gt; DF</t>
  </si>
  <si>
    <t>DF</t>
  </si>
  <si>
    <t>SP -&gt; PR</t>
  </si>
  <si>
    <t>PR</t>
  </si>
  <si>
    <t>SP -&gt; MG</t>
  </si>
  <si>
    <t>SP -&gt; RS</t>
  </si>
  <si>
    <t>RS</t>
  </si>
  <si>
    <t>SP -&gt; SP</t>
  </si>
  <si>
    <t>PR -&gt; SP</t>
  </si>
  <si>
    <t>PR -&gt; MG</t>
  </si>
  <si>
    <t>Small sample (&lt; 30) - not ranked</t>
  </si>
  <si>
    <t>SC -&gt; SP</t>
  </si>
  <si>
    <t>MG -&gt; MG</t>
  </si>
  <si>
    <t>SP -&gt; ES</t>
  </si>
  <si>
    <t>ES</t>
  </si>
  <si>
    <t>SP -&gt; PE</t>
  </si>
  <si>
    <t>PE</t>
  </si>
  <si>
    <t>PR -&gt; RJ</t>
  </si>
  <si>
    <t>PR -&gt; PR</t>
  </si>
  <si>
    <t>SP -&gt; CE</t>
  </si>
  <si>
    <t>CE</t>
  </si>
  <si>
    <t>SP -&gt; MT</t>
  </si>
  <si>
    <t>MT</t>
  </si>
  <si>
    <t>SP -&gt; PA</t>
  </si>
  <si>
    <t>PA</t>
  </si>
  <si>
    <t>MG -&gt; RJ</t>
  </si>
  <si>
    <t>PR -&gt; RS</t>
  </si>
  <si>
    <t>SP -&gt; MA</t>
  </si>
  <si>
    <t>MA</t>
  </si>
  <si>
    <t>RJ -&gt; RJ</t>
  </si>
  <si>
    <t>RJ -&gt; SP</t>
  </si>
  <si>
    <t>SP -&gt; MS</t>
  </si>
  <si>
    <t>MS</t>
  </si>
  <si>
    <t>MG -&gt; RS</t>
  </si>
  <si>
    <t>PR -&gt; DF</t>
  </si>
  <si>
    <t>PR -&gt; SC</t>
  </si>
  <si>
    <t>RS -&gt; SP</t>
  </si>
  <si>
    <t>SC -&gt; PR</t>
  </si>
  <si>
    <t>MG -&gt; PR</t>
  </si>
  <si>
    <t>MULTI-ORIGIN</t>
  </si>
  <si>
    <t/>
  </si>
  <si>
    <t>Not a single route - totals only</t>
  </si>
  <si>
    <t>PE -&gt; SP</t>
  </si>
  <si>
    <t>PR -&gt; GO</t>
  </si>
  <si>
    <t>SC -&gt; RJ</t>
  </si>
  <si>
    <t>SP -&gt; AL</t>
  </si>
  <si>
    <t>AL</t>
  </si>
  <si>
    <t>RJ -&gt; MG</t>
  </si>
  <si>
    <t>SC -&gt; SC</t>
  </si>
  <si>
    <t>SP -&gt; RN</t>
  </si>
  <si>
    <t>RN</t>
  </si>
  <si>
    <t>SP -&gt; TO</t>
  </si>
  <si>
    <t>TO</t>
  </si>
  <si>
    <t>MG -&gt; DF</t>
  </si>
  <si>
    <t>SP -&gt; PB</t>
  </si>
  <si>
    <t>PB</t>
  </si>
  <si>
    <t>SP -&gt; PI</t>
  </si>
  <si>
    <t>PI</t>
  </si>
  <si>
    <t>SP -&gt; SE</t>
  </si>
  <si>
    <t>SE</t>
  </si>
  <si>
    <t>DF -&gt; MG</t>
  </si>
  <si>
    <t>DF -&gt; SP</t>
  </si>
  <si>
    <t>MG -&gt; BA</t>
  </si>
  <si>
    <t>MG -&gt; ES</t>
  </si>
  <si>
    <t>PR -&gt; MS</t>
  </si>
  <si>
    <t>PR -&gt; MT</t>
  </si>
  <si>
    <t>RJ -&gt; RS</t>
  </si>
  <si>
    <t>SC -&gt; MG</t>
  </si>
  <si>
    <t>SC -&gt; RS</t>
  </si>
  <si>
    <t>SP -&gt; RO</t>
  </si>
  <si>
    <t>RO</t>
  </si>
  <si>
    <t>DF -&gt; BA</t>
  </si>
  <si>
    <t>MG -&gt; GO</t>
  </si>
  <si>
    <t>MG -&gt; SC</t>
  </si>
  <si>
    <t>PR -&gt; BA</t>
  </si>
  <si>
    <t>PR -&gt; ES</t>
  </si>
  <si>
    <t>RJ -&gt; GO</t>
  </si>
  <si>
    <t>RJ -&gt; PR</t>
  </si>
  <si>
    <t>RS -&gt; MG</t>
  </si>
  <si>
    <t>RS -&gt; RS</t>
  </si>
  <si>
    <t>SC -&gt; ES</t>
  </si>
  <si>
    <t>BA -&gt; SP</t>
  </si>
  <si>
    <t>GO -&gt; MG</t>
  </si>
  <si>
    <t>GO -&gt; SP</t>
  </si>
  <si>
    <t>MA -&gt; SP</t>
  </si>
  <si>
    <t>MG -&gt; MS</t>
  </si>
  <si>
    <t>PE -&gt; MG</t>
  </si>
  <si>
    <t>PR -&gt; CE</t>
  </si>
  <si>
    <t>PR -&gt; MA</t>
  </si>
  <si>
    <t>PR -&gt; PE</t>
  </si>
  <si>
    <t>RJ -&gt; PE</t>
  </si>
  <si>
    <t>RS -&gt; RJ</t>
  </si>
  <si>
    <t>SC -&gt; PE</t>
  </si>
  <si>
    <t>SP -&gt; AC</t>
  </si>
  <si>
    <t>AC</t>
  </si>
  <si>
    <t>SP -&gt; AM</t>
  </si>
  <si>
    <t>AM</t>
  </si>
  <si>
    <t>Follow-up list at the cut-off, one row per order. Actions are suggestions; no owner or outcome is recorded. Use the filter buttons.</t>
  </si>
  <si>
    <t>priority_rank</t>
  </si>
  <si>
    <t>priority</t>
  </si>
  <si>
    <t>exception_type</t>
  </si>
  <si>
    <t>rule_id</t>
  </si>
  <si>
    <t>rule_reason</t>
  </si>
  <si>
    <t>order_id</t>
  </si>
  <si>
    <t>purchase_date</t>
  </si>
  <si>
    <t>estimated_delivery_date</t>
  </si>
  <si>
    <t>days_overdue</t>
  </si>
  <si>
    <t>ship_by_date</t>
  </si>
  <si>
    <t>approved_by_cutoff</t>
  </si>
  <si>
    <t>carrier_handover_date</t>
  </si>
  <si>
    <t>became_overdue_this_window</t>
  </si>
  <si>
    <t>n_items</t>
  </si>
  <si>
    <t>n_sellers</t>
  </si>
  <si>
    <t>seller_id</t>
  </si>
  <si>
    <t>seller_attribution</t>
  </si>
  <si>
    <t>origin_states</t>
  </si>
  <si>
    <t>customer_state</t>
  </si>
  <si>
    <t>freight_value</t>
  </si>
  <si>
    <t>payment_value</t>
  </si>
  <si>
    <t>evidence</t>
  </si>
  <si>
    <t>suggested_action</t>
  </si>
  <si>
    <t>P1</t>
  </si>
  <si>
    <t>Overdue</t>
  </si>
  <si>
    <t>R2</t>
  </si>
  <si>
    <t>Overdue, payment approved, not handed to carrier</t>
  </si>
  <si>
    <t>8ed46f28f884bd76db1f8d95fc27a5f4</t>
  </si>
  <si>
    <t>55c96925041a14097b6a7825554f4ad5</t>
  </si>
  <si>
    <t>single seller</t>
  </si>
  <si>
    <t>Ask seller(s) for dispatch date; consider proactive message to customer</t>
  </si>
  <si>
    <t>R1</t>
  </si>
  <si>
    <t>Overdue, handed to carrier, no delivery recorded</t>
  </si>
  <si>
    <t>47e96b5cb6f0592d336b6bf8a817d1c3</t>
  </si>
  <si>
    <t>0adac9fbd9a2b63cccaac4f8756c1ca8</t>
  </si>
  <si>
    <t>Ask carrier for tracking status; consider proactive message to customer</t>
  </si>
  <si>
    <t>05a0f6d062da2d6c66fa846737770d35</t>
  </si>
  <si>
    <t>1b938a7ec6ac5061a66a3766e0e75f90</t>
  </si>
  <si>
    <t>2c18f34c7f29606619d5ad1f14849efc</t>
  </si>
  <si>
    <t>cbd996ad3c1b7dc71fd0e5f5df9087e2</t>
  </si>
  <si>
    <t>ea6c1bccedd9137975bff2495dfd90ae</t>
  </si>
  <si>
    <t>05f51e13da97139648b8125c31e5f51b</t>
  </si>
  <si>
    <t>8d4159350057e7ebf61c0083d75c8712</t>
  </si>
  <si>
    <t>784ba75dd9d20200c4caed3d7a77141a</t>
  </si>
  <si>
    <t>0d103d6504de00ed0c99969517a9ad52</t>
  </si>
  <si>
    <t>5acd070dd3fe441bbb2ec1f1ede515ee</t>
  </si>
  <si>
    <t>bdc6d13db4338777a27724c65a0248c6</t>
  </si>
  <si>
    <t>c003204e1ab016dfa150abc119207b24</t>
  </si>
  <si>
    <t>f3c5d914eec90079a826c2b5ea7fe6bc</t>
  </si>
  <si>
    <t>4a3ca9315b744ce9f8e9374361493884</t>
  </si>
  <si>
    <t>a90966534748634cbb133383bf0eee68</t>
  </si>
  <si>
    <t>270297ead4c65a6cd2593960d2af6b21</t>
  </si>
  <si>
    <t>e0b4e92a39bc8b93bc4ff121772819ea</t>
  </si>
  <si>
    <t>2c3d56f92f360fb89d849b84e8f50eae</t>
  </si>
  <si>
    <t>32b5ca23bd0b8761a4e3c0fb0b4b4418</t>
  </si>
  <si>
    <t>no items recorded</t>
  </si>
  <si>
    <t>3c3df3dd2afaabb39a53131f9ce98116</t>
  </si>
  <si>
    <t>3f2467ae6b5a92494a59e95de0d79ba8</t>
  </si>
  <si>
    <t>bf3c691a76e2c8733340a8f7e251a0f1</t>
  </si>
  <si>
    <t>c56bbf34e57026ecc783dc5db2ad1e69</t>
  </si>
  <si>
    <t>e8b3a3a38279a82f0e5d006d5e5b7d2c</t>
  </si>
  <si>
    <t>2f6492ebb2badd06db511b63ae7d7f55</t>
  </si>
  <si>
    <t>a1043bafd471dff536d0c462352beb48</t>
  </si>
  <si>
    <t>12f3c6723ad757676360f2b5bd8ce007</t>
  </si>
  <si>
    <t>f08c008c8a8d31417763738a1788a2a8</t>
  </si>
  <si>
    <t>ad380680e87dea0f2abf5cd5bace626c</t>
  </si>
  <si>
    <t>77530e9772f57a62c906e1c21538ab82</t>
  </si>
  <si>
    <t>1def7af24cb7182497acfd953f6dd88b</t>
  </si>
  <si>
    <t>a2e874074c877c5a05abae80ad6e488f</t>
  </si>
  <si>
    <t>41c3bd8a34828a1a9ed3bae14a535afe</t>
  </si>
  <si>
    <t>bd23da7354813347129d751591d1a6e2</t>
  </si>
  <si>
    <t>297a6cbb707aabf7bf2fd71dca333168</t>
  </si>
  <si>
    <t>4559697a8f7e637227c2eeaed843baff</t>
  </si>
  <si>
    <t>d7cc5fcfee9af53fcd78bb47e4e55584</t>
  </si>
  <si>
    <t>17e34d8224d27a541263c4c64b11a56b</t>
  </si>
  <si>
    <t>5abf37ab57e23f69a9c8ab98c4800273</t>
  </si>
  <si>
    <t>2a84855fd20af891be03bc5924d2b453</t>
  </si>
  <si>
    <t>2db84a082bda455eb1da10727e7ca621</t>
  </si>
  <si>
    <t>955fee9216a65b617aa5c0531780ce60</t>
  </si>
  <si>
    <t>4ffaf2cdcc432ea3cd8ae0ab7a789cb0</t>
  </si>
  <si>
    <t>a728ee4ebe3964a5a4ab8b0409eaabc1</t>
  </si>
  <si>
    <t>ba0f1e99132c6f69e4622597e9853599</t>
  </si>
  <si>
    <t>6973a06f484aacf400ece213dbf3d946</t>
  </si>
  <si>
    <t>24f07a52ca6b749c618b46ddb2e94b8a</t>
  </si>
  <si>
    <t>b2479f944e1b90cf8a5de1bbfde284d6</t>
  </si>
  <si>
    <t>ab76f54a321a0431ef243b3b6865078b</t>
  </si>
  <si>
    <t>de23c3b98a88888289c6f5cc1209054a</t>
  </si>
  <si>
    <t>d3afe40f7060b3287d948a6bdea42687</t>
  </si>
  <si>
    <t>4371b634e0efc0e22b09b52907d9d469</t>
  </si>
  <si>
    <t>b7d469b7eb3c07c6d4b96d505c811fea</t>
  </si>
  <si>
    <t>f262cbc1c910c83959f849465454ddd3</t>
  </si>
  <si>
    <t>0a6b7c79b8c67dedc51f2dea7b4e1e59</t>
  </si>
  <si>
    <t>f8303e6eff198d1749d04649a1eb2bb6</t>
  </si>
  <si>
    <t>7b9969738a7e690d13867eedd1fef01a</t>
  </si>
  <si>
    <t>9c0e69c7bf2619675bbadf47b43f655a</t>
  </si>
  <si>
    <t>d56ec35ab3257ad373bdbca2a1516715</t>
  </si>
  <si>
    <t>baf1b12b26680071c8851fc697020e62</t>
  </si>
  <si>
    <t>c826c40d7b19f62a09e2d7c5e7295ee2</t>
  </si>
  <si>
    <t>357699224271146ddda4a57375993805</t>
  </si>
  <si>
    <t>bef875448d5a4f703555d2dd5f8382b5</t>
  </si>
  <si>
    <t>aefe90553e50779cfa353170674e9d0f</t>
  </si>
  <si>
    <t>f3da5b2ff499efb8d4a6d371d175d7dd</t>
  </si>
  <si>
    <t>b5b7c54093bad4e0d745214e691224d7</t>
  </si>
  <si>
    <t>a5a1bfcf728ab0e19182959cf0771ee4</t>
  </si>
  <si>
    <t>a8096d0b94faa1314dbd562efc6a0967</t>
  </si>
  <si>
    <t>850f4f8af5ea87287ac68de36e29107f</t>
  </si>
  <si>
    <t>b121103b92afc327fb33d0e75b368a72</t>
  </si>
  <si>
    <t>edb1ef5e36e0c8cd84eb3c9b003e486d</t>
  </si>
  <si>
    <t>714fb133a6730ab81fa1d3c1b2007291</t>
  </si>
  <si>
    <t>95f83f51203c626648c875dd41874c7f</t>
  </si>
  <si>
    <t>07b9210fa8f57b996c79cb931e817393</t>
  </si>
  <si>
    <t>fa40cc5b934574b62717c68f3d678b6d</t>
  </si>
  <si>
    <t>6b5ccf5385890198c54fa97afe4812bc</t>
  </si>
  <si>
    <t>5b8154610ebb21fb90eb587365e673df</t>
  </si>
  <si>
    <t>cb599c234fc71be7c137179b6d473a30</t>
  </si>
  <si>
    <t>4be69a31714c77604076ab0004055c6c</t>
  </si>
  <si>
    <t>0df3984f9dfb3d49ac6366acbd3bbb85</t>
  </si>
  <si>
    <t>190025dbe5811e87645792c21726e215</t>
  </si>
  <si>
    <t>e3e15e2c0b9700561efac21c6be48066</t>
  </si>
  <si>
    <t>a87ef9e0075f9e9636d1b1f3162aff06</t>
  </si>
  <si>
    <t>6597f8bf4610cf5291b83c0d57440e53</t>
  </si>
  <si>
    <t>cd408efeda0fdd3fe5f27134bd065001</t>
  </si>
  <si>
    <t>0be8ff43f22e456b4e0371b2245e4d01</t>
  </si>
  <si>
    <t>0166cc8756d58b4a30fb49de83527120</t>
  </si>
  <si>
    <t>562fc2f2c2863ab7e79a9e4388a58a14</t>
  </si>
  <si>
    <t>9670e04f62098cb2eb977a5d5df33229</t>
  </si>
  <si>
    <t>3d871de0142ce09b7081e2b9d1733cb1</t>
  </si>
  <si>
    <t>a4efaffc506a395c9cea7402b078c1e5</t>
  </si>
  <si>
    <t>773f048245dc975a5f7c67c2415c88a0</t>
  </si>
  <si>
    <t>eeb6de78f79159600292e314a77cbd18</t>
  </si>
  <si>
    <t>6ad336dba0613cde0e5717f50dc8c669</t>
  </si>
  <si>
    <t>f457c46070d02cadd8a68551231220dd</t>
  </si>
  <si>
    <t>3a129877493c8189c59c60eb71d97c29</t>
  </si>
  <si>
    <t>3fd1e727ba94cfe122d165e176ce7967</t>
  </si>
  <si>
    <t>e23ca832ba25d2d20b0ebacdfe401989</t>
  </si>
  <si>
    <t>cc419e0650a3c5ba77189a1882b7556a</t>
  </si>
  <si>
    <t>46eb75885eca03736c4188871c0a9ba3</t>
  </si>
  <si>
    <t>440dd6ab244315c632130ecfb63827b1</t>
  </si>
  <si>
    <t>a251837e3fdaf53bc31e35e612cf58be</t>
  </si>
  <si>
    <t>b0b346d3a89f5eb4c2968af3f083cd43</t>
  </si>
  <si>
    <t>8f367420ab5fc7305b7383f29ef4ed4e</t>
  </si>
  <si>
    <t>6560211a19b47992c3666cc44a7e94c0</t>
  </si>
  <si>
    <t>8a9cce19aa49e055f2babb81d5a71c40</t>
  </si>
  <si>
    <t>5011f0d93373a4c5753adf58ca77af8d</t>
  </si>
  <si>
    <t>a584b2acfafd53fc605e76baa4a5cfaf</t>
  </si>
  <si>
    <t>9aeaadde646cd9e4c51638f24ecf63cb</t>
  </si>
  <si>
    <t>c161d1327ebc3a156c09582ab2f59f6c</t>
  </si>
  <si>
    <t>b90cc9e10252911c2092a1e49794aa13</t>
  </si>
  <si>
    <t>d8b293a9c747dbce4a60f6c0bca37dd7</t>
  </si>
  <si>
    <t>0e5e60b0cddf73f60eb73fac19f590cf</t>
  </si>
  <si>
    <t>37ce40447807e0d3e58cc474ce549881</t>
  </si>
  <si>
    <t>4f1eeea688bd0014cf7f81a1f23bb8c4</t>
  </si>
  <si>
    <t>4aba391bc3b88717ce08eb11e44937b2</t>
  </si>
  <si>
    <t>b6acc7697ffc9caac96d5d86d80ea71d</t>
  </si>
  <si>
    <t>dc4a0fc896dc34b0d5bfec8438291c80</t>
  </si>
  <si>
    <t>e4f0fb907ebf79c450a8646d85c36d62</t>
  </si>
  <si>
    <t>4b9750c8ad28220fe6702d4ecb7c898f</t>
  </si>
  <si>
    <t>bcd228c06b9b1714cbe3bc43673c423b</t>
  </si>
  <si>
    <t>7e93a43ef30c4f03f38b393420bc753a</t>
  </si>
  <si>
    <t>4472eca3b65b1dca5e0d59c0e4e0c6bc</t>
  </si>
  <si>
    <t>54b56f2389dee113344da742da7890c9</t>
  </si>
  <si>
    <t>9c77f06d1dbb94007e708e9aba680a03</t>
  </si>
  <si>
    <t>e9f308c243d53135de5a481bf3a9cb86</t>
  </si>
  <si>
    <t>22a7f3846cb3968336eda252420a6920</t>
  </si>
  <si>
    <t>7d456afc660226829370f3173d14520c</t>
  </si>
  <si>
    <t>131c0d01eb2028569a7756743f8a6e52</t>
  </si>
  <si>
    <t>dbc22125167c298ef99da25668e1011f</t>
  </si>
  <si>
    <t>67384817c871ae183b24f9a0a6eb9bbc</t>
  </si>
  <si>
    <t>c66dccfb3f109511246da627dd5a2498</t>
  </si>
  <si>
    <t>3af427dfb9464cd660ac27292bb5d30b</t>
  </si>
  <si>
    <t>ac51cac5e20d69ff485a54746488ef48</t>
  </si>
  <si>
    <t>73cc28d48ecf54949b91163a0f7d3351</t>
  </si>
  <si>
    <t>db4350fd57ae30082dec7acbaacc17f9</t>
  </si>
  <si>
    <t>881a5cda3b897b035971e3fcfce58aa6</t>
  </si>
  <si>
    <t>cca6db6aa192f99ed392d637fc8c1b86</t>
  </si>
  <si>
    <t>8b321bb669392f5163d04c59e235e066</t>
  </si>
  <si>
    <t>4f58570952cc0b543a70a359a1b4a7f4</t>
  </si>
  <si>
    <t>adbc26658d6c7b4b6219f9d934598091</t>
  </si>
  <si>
    <t>a6a6c002fd9f0e9eb0c0148448cf8863</t>
  </si>
  <si>
    <t>056b4ada5bbc2c50cc7842547dda6b51</t>
  </si>
  <si>
    <t>716bcd6dfe99970baf4aed2083136ed8</t>
  </si>
  <si>
    <t>5b581417df4480f632484ba681e53944</t>
  </si>
  <si>
    <t>99cf68b71ac96d8b4c0f20dec410d8fd</t>
  </si>
  <si>
    <t>7d76b645482be4a332374e8223836592</t>
  </si>
  <si>
    <t>4e74c91d859c944fa7c652b9f05f7fce</t>
  </si>
  <si>
    <t>70eea00b476a314817cefde4aad4f89a</t>
  </si>
  <si>
    <t>c9f06c1229ec7cd4ec9aed55d434b499</t>
  </si>
  <si>
    <t>7e1fb0a3ebfb01ffb3a7dae98bf3238d</t>
  </si>
  <si>
    <t>dea56b3893564838aa0a8b56394f46a4</t>
  </si>
  <si>
    <t>c6bda72e4dbf5c5866b13cb1810c6d03</t>
  </si>
  <si>
    <t>0822275bffed889280029c0c32b003e6</t>
  </si>
  <si>
    <t>607c1c3f926d9435d428d7aa7d52a1ed</t>
  </si>
  <si>
    <t>ef68f7ac518a9309ceb3a3290ee123a1</t>
  </si>
  <si>
    <t>213b25e6f54661939f11710a6fddb871</t>
  </si>
  <si>
    <t>7a56ded9b696cca5e892f56f49b1921a</t>
  </si>
  <si>
    <t>8e572fc4edc8dafc89bb18bf812916e6</t>
  </si>
  <si>
    <t>04fdea0c111866e6cf812f1570d6b5bd</t>
  </si>
  <si>
    <t>9f35328dc92b28c67517b812818dc6a8</t>
  </si>
  <si>
    <t>9596c870880d900012f2e8e6e30d06d7</t>
  </si>
  <si>
    <t>6b460c25c2bb8e1323536e9e921d04a1</t>
  </si>
  <si>
    <t>c7a5d101d4b6ed70eacc97c78158eadd</t>
  </si>
  <si>
    <t>634964b17796e64304cadf1ad3050fb7</t>
  </si>
  <si>
    <t>cc6c9b89f70b32d7fe075718e0fc58e7</t>
  </si>
  <si>
    <t>ceaec5548eefc6e23e6607c5435102e7</t>
  </si>
  <si>
    <t>10c3c7fea20a1ed15c6e55e90b3fb084</t>
  </si>
  <si>
    <t>3c7c4a49ec3c6550809089c6a2ca9370</t>
  </si>
  <si>
    <t>59e94c656aec3cee1b4a97e8324b47d2</t>
  </si>
  <si>
    <t>282f23a9769b2690c5dda22e316f9941</t>
  </si>
  <si>
    <t>a31ecde4565b9e5e70a4ac17fb47174c</t>
  </si>
  <si>
    <t>4c8b8048e33af2bf94f2eb547746a916</t>
  </si>
  <si>
    <t>21988f4f4d0971038b9c9d35f3be1ccf</t>
  </si>
  <si>
    <t>c26ba52cf8d2f34915f2f6b7ffa0a3f3</t>
  </si>
  <si>
    <t>739e19153280cbc1a87c1a84be1ec4f6</t>
  </si>
  <si>
    <t>553fee3c21ab4328508c8e467806613e</t>
  </si>
  <si>
    <t>dba741d70126a95feb85435175370edc</t>
  </si>
  <si>
    <t>bf74f34eea55f16dd17b6212310074f8</t>
  </si>
  <si>
    <t>2e1c9f22be269ef4643f826c9e650a52</t>
  </si>
  <si>
    <t>855ae4582654ba4a199f982c721df826</t>
  </si>
  <si>
    <t>93c6619a4bcc406da04323380c97d896</t>
  </si>
  <si>
    <t>eba9f7d9010e498a2fdd4a48583db537</t>
  </si>
  <si>
    <t>ab3e0c171fe84a7ba7de130f19cfb485</t>
  </si>
  <si>
    <t>ab13cb6c13063f2603a94c9ddca34f66</t>
  </si>
  <si>
    <t>cf8ab1616079e2793aa29d524df01bb1</t>
  </si>
  <si>
    <t>d8734ba226623cf1c86b3cce8cbffa78</t>
  </si>
  <si>
    <t>0b35c634521043bf4b47e21547b99ab5</t>
  </si>
  <si>
    <t>3e47a8cc66024053901d7313a7d2a0b7</t>
  </si>
  <si>
    <t>e5a38146df062edaf55c38afa99e42dc</t>
  </si>
  <si>
    <t>4605d0821fe434dafe3776fd89aab59b</t>
  </si>
  <si>
    <t>167d05678f810589a854d30460ae62f0</t>
  </si>
  <si>
    <t>d05ae8f7a5bd1d2a690a44cd079e4e27</t>
  </si>
  <si>
    <t>f31535f21d145b2345e2bf7f09d62322</t>
  </si>
  <si>
    <t>91f0eec23d4a61d7d7caeefa3f0ad1ca</t>
  </si>
  <si>
    <t>10aa3224bbb698312ca210f229f91b5e</t>
  </si>
  <si>
    <t>c60b801f2d52c7f7f91de00870882a75</t>
  </si>
  <si>
    <t>9a9a504bd8c303044422d2ca234992d1</t>
  </si>
  <si>
    <t>b17b679f4f5ce2e03ce6968c62648246</t>
  </si>
  <si>
    <t>403d9938537f6a0538d6860e3e7bc7fa</t>
  </si>
  <si>
    <t>cb3dd9ce66268c7a3ca7241ac70ab58c</t>
  </si>
  <si>
    <t>453d6f15ae1c7406d6ec6a5ee3909b82</t>
  </si>
  <si>
    <t>d49363a0cc2a1915a5a11f85ea08ea48</t>
  </si>
  <si>
    <t>eb278cfbeefc0a9180876153de58d693</t>
  </si>
  <si>
    <t>9f0e70e8d046d9e0626bbdaf1aff88c4</t>
  </si>
  <si>
    <t>6c7d50c24b3ccd2fd83b44d8bb34e073</t>
  </si>
  <si>
    <t>a402af38a74c44926247db438245d95c</t>
  </si>
  <si>
    <t>b7cc6c5e001441ae8cdd5c69a480cbe4</t>
  </si>
  <si>
    <t>acbf78375e415ab56c0f6160901b6167</t>
  </si>
  <si>
    <t>7c67e1448b00f6e969d365cea6b010ab</t>
  </si>
  <si>
    <t>854f8cb8dacdc3abc4cce7a7df6fcc1f</t>
  </si>
  <si>
    <t>1f50f920176fa81dab994f9023523100</t>
  </si>
  <si>
    <t>0a7beb2015960a4d8c4ec8bbde5a1f5f</t>
  </si>
  <si>
    <t>8c81d5854b1977c139c82372fade2084</t>
  </si>
  <si>
    <t>cca3071e3e9bb7d12640c9fbe2301306</t>
  </si>
  <si>
    <t>16ed456866d66d9108a13a17374364c4</t>
  </si>
  <si>
    <t>4e922959ae960d389249c378d1c939f5</t>
  </si>
  <si>
    <t>fab521689278ba031dbcb0dadb19207e</t>
  </si>
  <si>
    <t>7a67c85e85bb2ce8582c35f2203ad736</t>
  </si>
  <si>
    <t>77de2b6b4ddbe44561245ee168593b5e</t>
  </si>
  <si>
    <t>89c127985a8b130cfa45c1d36764017a</t>
  </si>
  <si>
    <t>2d58df29239f4ee3887103ef2576e857</t>
  </si>
  <si>
    <t>834f8533b2ecb6598dd004ff3de7203a</t>
  </si>
  <si>
    <t>3c901df8e80c646961877910379f4c1d</t>
  </si>
  <si>
    <t>b561927807645834b59ef0d16ba55a24</t>
  </si>
  <si>
    <t>e65ddff691f659fab67bed2e90069d9b</t>
  </si>
  <si>
    <t>d7d9b2d3d6316241ec880b97446b797e</t>
  </si>
  <si>
    <t>fe36a827e3e9e0a6f5e11b0be2055727</t>
  </si>
  <si>
    <t>f7ccf836d21b2fb1de37564105216cc1</t>
  </si>
  <si>
    <t>868848b4871ab271d735d67e64584f81</t>
  </si>
  <si>
    <t>d20b021d3efdf267a402c402a48ea64b</t>
  </si>
  <si>
    <t>a2714ecbf6eeb3bb9cd7dba6dc1c5e82</t>
  </si>
  <si>
    <t>fffd5413c0700ac820c7069d66d98c89</t>
  </si>
  <si>
    <t>affcfd3067c168967157abe801a3c4ec</t>
  </si>
  <si>
    <t>e84484718ecfbc4f6c98105b691b2bd8</t>
  </si>
  <si>
    <t>373ee4a3a775a733770ca3f790b8b9ac</t>
  </si>
  <si>
    <t>5a34dfccd6fb223c870ad34652d64274</t>
  </si>
  <si>
    <t>da8622b14eb17ae2831f4ac5b9dab84a</t>
  </si>
  <si>
    <t>943625151a5d8d00da80e96a90930e03</t>
  </si>
  <si>
    <t>9674754b5a0cb32b638cec001178f799</t>
  </si>
  <si>
    <t>0584a31bb6abbd3dcc27e2d464ac863d</t>
  </si>
  <si>
    <t>ec2e006556300a79a5a91e4876ab3a56</t>
  </si>
  <si>
    <t>127f8f54e84665683a3c9bde5b3e768c</t>
  </si>
  <si>
    <t>1e792fcdefb0bb34325cdc1dee84fcea</t>
  </si>
  <si>
    <t>a2bcbea8668a0d93334cf7f7fafe921d</t>
  </si>
  <si>
    <t>d0fcf3d6dcc18a5c4ac51f06a56ec683</t>
  </si>
  <si>
    <t>f12ff17ad8bbf01ec5c33b17e506649b</t>
  </si>
  <si>
    <t>17072870cced0e2db845c2cc0bb385e7</t>
  </si>
  <si>
    <t>0d906917988b5c890f8a5d80c26f8f32</t>
  </si>
  <si>
    <t>391bbd13b6452244774beff1824006ed</t>
  </si>
  <si>
    <t>b372525f79a03a4f4c7f33e311e3a6eb</t>
  </si>
  <si>
    <t>7142540dd4c91e2237acb7e911c4eba2</t>
  </si>
  <si>
    <t>5cb6969f0b3cd394de49463c4f4e4017</t>
  </si>
  <si>
    <t>e59aa562b9f8076dd550fcddf0e73491</t>
  </si>
  <si>
    <t>d99b8ff94ddb329c1d7e03ab9d9019e3</t>
  </si>
  <si>
    <t>f62d7bb4a613ec758a03342d46b580b2</t>
  </si>
  <si>
    <t>c1049eef89915c6beb3604bf3d6588d7</t>
  </si>
  <si>
    <t>06bad3a130e91f7b26791dba22abc0f5</t>
  </si>
  <si>
    <t>ce7d1888639e6fb06b2749cbfdac1ff7</t>
  </si>
  <si>
    <t>ca7296a83aa279afb28c2388a4f48891</t>
  </si>
  <si>
    <t>24fe7dc3b99f55e3d45f8d3d4c394811</t>
  </si>
  <si>
    <t>994f04b3718c2bab35c2adfa8afecd2a</t>
  </si>
  <si>
    <t>5754d3172f19f363edbaf03691b9f989</t>
  </si>
  <si>
    <t>c3fe93ba3085f92855c97e57f38c8c05</t>
  </si>
  <si>
    <t>e10c65499c59e57eea4d979ac5eb3d0f</t>
  </si>
  <si>
    <t>b33aaadd1a8891d2dfef0c4c3bdf0371</t>
  </si>
  <si>
    <t>2591fdd6cc7718bac11436b57abd8163</t>
  </si>
  <si>
    <t>b47f53f735ee76b0f07d10b4525d564e</t>
  </si>
  <si>
    <t>3ade81dab5a172b88e1871c28ae05260</t>
  </si>
  <si>
    <t>9516708e3c4612677ddf7c9167b54076</t>
  </si>
  <si>
    <t>0dd184061fb0eaa7ca37932c68ab91c5</t>
  </si>
  <si>
    <t>8caf289ab5d7e3ec7b4522aa22dabbec</t>
  </si>
  <si>
    <t>46dc3b2cc0980fb8ec44634e21d2718e</t>
  </si>
  <si>
    <t>5642f00882c2ab59e001778dc483135f</t>
  </si>
  <si>
    <t>391fc6631aebcf3004804e51b40bcf1e</t>
  </si>
  <si>
    <t>749d73f14d7f582a7c7b12894d552da2</t>
  </si>
  <si>
    <t>fe9fae71b4fa7d05f1934adc54391f8d</t>
  </si>
  <si>
    <t>01e7cf79ff6fdb0a65634f714c67dd24</t>
  </si>
  <si>
    <t>e5a3438891c0bfdb9394643f95273d8e</t>
  </si>
  <si>
    <t>09f2c6e797b432724b3a123f1ec897bb</t>
  </si>
  <si>
    <t>897060da8b9a21f655304d50fd935913</t>
  </si>
  <si>
    <t>69ab938f05d407e090b2620357ad4103</t>
  </si>
  <si>
    <t>a420f60ff1aa9acc80d0e42959f2b313</t>
  </si>
  <si>
    <t>b74e2b985df55c2df5b2be2d9c1f68b4</t>
  </si>
  <si>
    <t>d2cf258da81ae1043667e2f77c510deb</t>
  </si>
  <si>
    <t>e43bf5e038481356e162cc65ab7fb1c2</t>
  </si>
  <si>
    <t>1d29dfba02015238dfbe2449a5eaa361</t>
  </si>
  <si>
    <t>d98c008ab7402c99b12dc051744284e8</t>
  </si>
  <si>
    <t>a673821011d0cec28146ea42f5ab767f</t>
  </si>
  <si>
    <t>R3</t>
  </si>
  <si>
    <t>Overdue, payment not approved by cut-off</t>
  </si>
  <si>
    <t>51192863a004d47d0e4f5bf5384bf88f</t>
  </si>
  <si>
    <t>Check payment status and whether the order was cancelled; close or notify customer</t>
  </si>
  <si>
    <t>dba5062fbda3af4fb6c33b1e040ca38f</t>
  </si>
  <si>
    <t>4fbc8d6f2f4db3e789d5a876fa349b56</t>
  </si>
  <si>
    <t>4fb41dff7c50136976d1a5cf004a42e2</t>
  </si>
  <si>
    <t>e356a4ff99aaf426f6f7dc94c846f398</t>
  </si>
  <si>
    <t>f3f65564546eca69a8247a280e51a77b</t>
  </si>
  <si>
    <t>3a221cd6b7d813e2b6cf57339f37a062</t>
  </si>
  <si>
    <t>bd0389da23d89b726abf911cccc54596</t>
  </si>
  <si>
    <t>7307b10c1d2a536f3f07f18be33d9de7</t>
  </si>
  <si>
    <t>f5a590cf36251cf1162ea35bef76fe84</t>
  </si>
  <si>
    <t>243b66cfd676e63e7db35e7341acdf7b</t>
  </si>
  <si>
    <t>1eade46fba20122dc4aefb379f8c636b</t>
  </si>
  <si>
    <t>7582b8c10039cceafcfe7b13e41a91e2</t>
  </si>
  <si>
    <t>eadaca4f30575b6c3a4c4efebce9d252</t>
  </si>
  <si>
    <t>d624126b9206f595fb3fbb6ba03b28a8</t>
  </si>
  <si>
    <t>ce0a53468ddde09e79f73edba370ceec</t>
  </si>
  <si>
    <t>756893c5dc2102b9555b660dffb03813</t>
  </si>
  <si>
    <t>e6d47ca86bcbef462feb6a77ce1d21ce</t>
  </si>
  <si>
    <t>d2374cbcbb3ca4ab1086534108cc3ab7</t>
  </si>
  <si>
    <t>68cf1c197f0444a28730011879182f7a</t>
  </si>
  <si>
    <t>4fafa25ee16300a26f7ef92f3d15b58b</t>
  </si>
  <si>
    <t>f543ba3c973276f519d89d59bd46cead</t>
  </si>
  <si>
    <t>fa2e4f22d5a4e8d2e7ddbd342245259a</t>
  </si>
  <si>
    <t>b19f3ca2ea475913750f25a5c37c8d8f</t>
  </si>
  <si>
    <t>f03ccc35dd341e035efa0ca47c83cf10</t>
  </si>
  <si>
    <t>cd9b65ef397b95d0e1fa108caad89718</t>
  </si>
  <si>
    <t>b2ba3715d723d245138f291a6fe42594</t>
  </si>
  <si>
    <t>885935156ba43094f3ae95f3c14e0381</t>
  </si>
  <si>
    <t>ca3bd7cd9f149df75950150d010fe4a2</t>
  </si>
  <si>
    <t>b713808dd06ed1a61d95a024a3e367a1</t>
  </si>
  <si>
    <t>beebcdb81ca8d717ee63fbee85b1826e</t>
  </si>
  <si>
    <t>92eb0f42c21942b6552362b9b114707d</t>
  </si>
  <si>
    <t>4ef546f6f1165d23cd5134e9c5ab83d7</t>
  </si>
  <si>
    <t>87ef9c6a3db3017348305df0c36ba7e8</t>
  </si>
  <si>
    <t>a3e9a2c700480d9bb01fba070ba80a0e</t>
  </si>
  <si>
    <t>db2e05029f564b8953ddf3766e3b99f5</t>
  </si>
  <si>
    <t>218d46b86c1881d022bce9c68a7d4b15</t>
  </si>
  <si>
    <t>d6a6ab6b5f102f746569eb2c620e8be6</t>
  </si>
  <si>
    <t>25a178eea0cfa9b0489aa1d8294423bf</t>
  </si>
  <si>
    <t>4c2b230173bb36f9b240f2b8ac11786e</t>
  </si>
  <si>
    <t>25f3c6052aa7604ff162e5a12b77298d</t>
  </si>
  <si>
    <t>8f2ce03f928b567e3d56181ae20ae952</t>
  </si>
  <si>
    <t>5ca9d935dd5306bf85a2f1e263d058f1</t>
  </si>
  <si>
    <t>27c747b711a812bafe3c276823a6bf73</t>
  </si>
  <si>
    <t>522620dcb18a6b31cd7bdf73665113a9</t>
  </si>
  <si>
    <t>936a199847ccb47438d3ae454d5e18d1</t>
  </si>
  <si>
    <t>2e97685820b5ee3efa8b213f18899387</t>
  </si>
  <si>
    <t>128639473a139ac0f3e5f5ade55873a5</t>
  </si>
  <si>
    <t>1c9fd2a0749771fdb8c1cad52a3c27a6</t>
  </si>
  <si>
    <t>9d02a36395b93b35ec7f46d79ee3e8b9</t>
  </si>
  <si>
    <t>ccc4bbb5f32a6ab2b7066a4130f114e3</t>
  </si>
  <si>
    <t>a8a3eaaf155bc111acb10e0536a9e753</t>
  </si>
  <si>
    <t>c33a5c3c983090c8b78a28e65052a20d</t>
  </si>
  <si>
    <t>f8f45ebeb38088c44d98d201371ea345</t>
  </si>
  <si>
    <t>835f0f7810c76831d6c7d24c7a646d4d</t>
  </si>
  <si>
    <t>9e5a1beaee5b0847c3254738fe668243</t>
  </si>
  <si>
    <t>acadd4d36859671cb635527c6c977533</t>
  </si>
  <si>
    <t>65109cdae10193f20ee3c0f717cb349a</t>
  </si>
  <si>
    <t>6039e27294dc75811c0d8a39069f52c0</t>
  </si>
  <si>
    <t>63b6bb683b45ebaf42d0979fae65ad35</t>
  </si>
  <si>
    <t>1464afc72f696af775557a821c2e253f</t>
  </si>
  <si>
    <t>47e61b8ad8a1bb1dff9371cebc4c0637</t>
  </si>
  <si>
    <t>4869f7a5dfa277a7dca6462dcf3b52b2</t>
  </si>
  <si>
    <t>63fd40b25ac9dbeea8ec6b26558a1add</t>
  </si>
  <si>
    <t>d50d79cb34e38265a8649c383dcffd48</t>
  </si>
  <si>
    <t>e7dfe42bb50a6acce37e168e44260a51</t>
  </si>
  <si>
    <t>8d956fec2e4337affcb520f56fd8cbfd</t>
  </si>
  <si>
    <t>a75f828f8272cec810f1fc3ec8e88964</t>
  </si>
  <si>
    <t>8581055ce74af1daba164fdbd55a40de</t>
  </si>
  <si>
    <t>3aaee056441dcae251f360b1c71a7279</t>
  </si>
  <si>
    <t>8d171a848151e69e8f090fdbb50d4010</t>
  </si>
  <si>
    <t>656deadecd45f4e75686a2ae1adaaac5</t>
  </si>
  <si>
    <t>a50f9f0c6dc14bdf95d5621a5bd6b80b</t>
  </si>
  <si>
    <t>2c9e548be18521d1c43cde1c582c6de8</t>
  </si>
  <si>
    <t>51c3d73e0e905225319f9ae8b56837fb</t>
  </si>
  <si>
    <t>b33e7c55446eabf8fe1a42d037ac7d6d</t>
  </si>
  <si>
    <t>097c2a2e5ea719c510238bad5d902cef</t>
  </si>
  <si>
    <t>e117f2d33b09b76b46edadbd2ca908a7</t>
  </si>
  <si>
    <t>8b28d096634035667e8263d57ba3368c</t>
  </si>
  <si>
    <t>a4c7457da912c852dfb94cca5f35603a</t>
  </si>
  <si>
    <t>2e90cb1677d35cfe24eef47d441b7c87</t>
  </si>
  <si>
    <t>1bf4871c57b8284ca1dfa1a02ad278c6</t>
  </si>
  <si>
    <t>0fb5213e64d1cc9bbd3be70f3d35bf27</t>
  </si>
  <si>
    <t>1835b56ce799e6a4dc4eddc053f04066</t>
  </si>
  <si>
    <t>6d335a14529f4ffa4219793d5b5a9772</t>
  </si>
  <si>
    <t>b499c00f28f4b7069ff6550af8c1348a</t>
  </si>
  <si>
    <t>cafe1030b50f6fbe232a1532e95c89a6</t>
  </si>
  <si>
    <t>0b8558ffb8ef05e5abef8d7bf4a95884</t>
  </si>
  <si>
    <t>9bcddf79e9ba13cbf6c32e0916bd42d7</t>
  </si>
  <si>
    <t>3078096983cf766a32a06257648502d1</t>
  </si>
  <si>
    <t>1950d777989f6a877539f53795b4c3c3</t>
  </si>
  <si>
    <t>2a61c271b1ac763450d846849783e922</t>
  </si>
  <si>
    <t>aa7c3f20fab2d3cb0f76ab5165e47618</t>
  </si>
  <si>
    <t>718539d38d07dd351c76db862760e2e2</t>
  </si>
  <si>
    <t>ac1de8fa694be661c516f1df6cd72a24</t>
  </si>
  <si>
    <t>b8752fc264f1692031237bb715061cc4</t>
  </si>
  <si>
    <t>620c87c171fb2a6dd6e8bb4dec959fc6</t>
  </si>
  <si>
    <t>ee8e24472be0999597648d72577ae895</t>
  </si>
  <si>
    <t>P2</t>
  </si>
  <si>
    <t>0b90b6df587eb83608a64ea8b390cf07</t>
  </si>
  <si>
    <t>fe58b25c8ebdc65c3d4cb34070bf9e5d</t>
  </si>
  <si>
    <t>95b293867b5862941c9cd74f756a3c68</t>
  </si>
  <si>
    <t>1900267e848ceeba8fa32d80c1a5f5a8</t>
  </si>
  <si>
    <t>70a12e78e608ac31179aea7f8422044b</t>
  </si>
  <si>
    <t>ea8482cd71df3c1969d7b9473ff13abc</t>
  </si>
  <si>
    <t>e9779976487b77c6d4ac45f75ec7afe9</t>
  </si>
  <si>
    <t>765917871914309e5c5f9ed151155ad4</t>
  </si>
  <si>
    <t>2bc76dc101f9fa63d195e341cd11a649</t>
  </si>
  <si>
    <t>3ac2529f6e36838d812d40688453abff</t>
  </si>
  <si>
    <t>b98b715fe9e276204e2a3464f48cd796</t>
  </si>
  <si>
    <t>28bc8f33c194dd4f636717ef490d0921</t>
  </si>
  <si>
    <t>a49928bcdf77c55c6d6e05e09a9b4ca5</t>
  </si>
  <si>
    <t>d1f4276166cee5a37d01beb15e2426fc</t>
  </si>
  <si>
    <t>a4e634166243bbb3a13fa584463fa468</t>
  </si>
  <si>
    <t>c3867b4666c7d76867627c2f7fb22e21</t>
  </si>
  <si>
    <t>10951d02d64917a34959abeb8130601e</t>
  </si>
  <si>
    <t>080102cd0a76b09e0dcf55fcacc60e05</t>
  </si>
  <si>
    <t>a8b78b69f09b2a198f5a89c1897f8c72</t>
  </si>
  <si>
    <t>afac9f6b0c4e5f0a7ee87e922cd0f873</t>
  </si>
  <si>
    <t>e9c9e163bd9e8a23c5afab293ed676e2</t>
  </si>
  <si>
    <t>3b80f5f8f9c4664e52e228a8ce5752f9</t>
  </si>
  <si>
    <t>8e6d7754bc7e0f22c96d255ebda59eba</t>
  </si>
  <si>
    <t>7bcd0046dcddeefcc87ed07ba748966b</t>
  </si>
  <si>
    <t>808c7c69c2778bdf4689eee0286e2bef</t>
  </si>
  <si>
    <t>8a32e327fe2c1b3511609d81aaf9f042</t>
  </si>
  <si>
    <t>667a6d329a62f026cfb2e41a6510a858</t>
  </si>
  <si>
    <t>41b39e28db005d9731d9d485a83b4c38</t>
  </si>
  <si>
    <t>88460e8ebdecbfecb5f9601833981930</t>
  </si>
  <si>
    <t>9c4aacf06d8fee894180123720425a6e</t>
  </si>
  <si>
    <t>50c361bcf670d16f6df4d52de3dff924</t>
  </si>
  <si>
    <t>fa6d0c0ef7a7849ab7847303d458df3c</t>
  </si>
  <si>
    <t>3a7ca38e787a31a356329fad4b45ac35</t>
  </si>
  <si>
    <t>550f1d2fa6888807a4ffb1d80d06f899</t>
  </si>
  <si>
    <t>cdeec5de39a62045ad7edd0f00cc8858</t>
  </si>
  <si>
    <t>8629a7efec1aab257e58cda559f03ba7</t>
  </si>
  <si>
    <t>972d0f9cf61b499a4812cf0bfa3ad3c4</t>
  </si>
  <si>
    <t>9acc95f3652577fb8a5c8b1a7ee9bd96</t>
  </si>
  <si>
    <t>ca710aeaf469a14db2f46bf1bf7f5c54</t>
  </si>
  <si>
    <t>165fc07beebdcb6190fba8a06db2a449</t>
  </si>
  <si>
    <t>cac853d40d32850dba1ccff2c9f17269</t>
  </si>
  <si>
    <t>99eaacc9e6046db1c82b163c5f84869f</t>
  </si>
  <si>
    <t>7ddcbb64b5bc1ef36ca8c151f6ec77df</t>
  </si>
  <si>
    <t>bcc9dd23e2a8bd8267cf92b19304a1b9</t>
  </si>
  <si>
    <t>374bd3371c572eff1218edb0eb68cb96</t>
  </si>
  <si>
    <t>00ee68308b45bc5e2660cd833c3f81cc</t>
  </si>
  <si>
    <t>fa1c13f2614d7b5c4749cbc52fecda94</t>
  </si>
  <si>
    <t>7008613ea464bad5cb9b83456e1e6a8f</t>
  </si>
  <si>
    <t>a6fe7de3d16f6149ffe280349a8535a0</t>
  </si>
  <si>
    <t>e9bc59e7b60fc3063eb2290deda4cced</t>
  </si>
  <si>
    <t>4830e40640734fc1c52cd21127c341d4</t>
  </si>
  <si>
    <t>e2557098c56afd06a929b32a63b5f856</t>
  </si>
  <si>
    <t>5b0ee19a3125fc083348baa76d816ed0</t>
  </si>
  <si>
    <t>a3ed0979ab701d548275a0f5c844c635</t>
  </si>
  <si>
    <t>P3</t>
  </si>
  <si>
    <t>e9ca4774d5c077b8b4be87d25eaaaa3d</t>
  </si>
  <si>
    <t>6fd52c528dcb38be2eea044946b811f8</t>
  </si>
  <si>
    <t>2805499c211b52dfc1e64a1349ef45e2</t>
  </si>
  <si>
    <t>d98eec89afa3380e14463da2aabaea72</t>
  </si>
  <si>
    <t>457cb961f89e32569e2d9a737a65b3bb</t>
  </si>
  <si>
    <t>6401cfe160d72392195bd6e311a582cd</t>
  </si>
  <si>
    <t>08cdbae123ff67ca4e36d9d641ce0119</t>
  </si>
  <si>
    <t>891071be6ba827b591264c90c2ae8a63</t>
  </si>
  <si>
    <t>0f42926c2892dcd8785fd0c27c5876aa</t>
  </si>
  <si>
    <t>a17f621c590ea0fab3d5d883e1630ec6</t>
  </si>
  <si>
    <t>a6ddd2889891733e0af306332c71a3b8</t>
  </si>
  <si>
    <t>3092c0b297aacfb4bb6e056ebe13b9b8</t>
  </si>
  <si>
    <t>P4</t>
  </si>
  <si>
    <t>Early warning</t>
  </si>
  <si>
    <t>R4</t>
  </si>
  <si>
    <t>a7d6efcf25cbcbce23dbef446eb827d6</t>
  </si>
  <si>
    <t>71271995e85f5b8530be99ed54a91b89</t>
  </si>
  <si>
    <t>Remind seller(s) to dispatch before the estimated delivery date</t>
  </si>
  <si>
    <t>964bc1b427d6a485b515efcab9985e68</t>
  </si>
  <si>
    <t>c08dd05931abd8cb08aad3d31e39bfed</t>
  </si>
  <si>
    <t>cfa5ab0e4d3fc212fd0b3410e7081c62</t>
  </si>
  <si>
    <t>99bc267f49d76932cd195bfb2a94dd03</t>
  </si>
  <si>
    <t>bbc914b2842d3c32f438b913b31f0ff8</t>
  </si>
  <si>
    <t>491208d141876b40c6381fa49e8dff6a</t>
  </si>
  <si>
    <t>edafb5849135e41d30dcb51fbaa78014</t>
  </si>
  <si>
    <t>afd980edb690e47249915c1a1735e922</t>
  </si>
  <si>
    <t>1439b7c45e6b3497e1d86582382ec326</t>
  </si>
  <si>
    <t>fe0105a4696c7d31837cb3130fe9c4b1</t>
  </si>
  <si>
    <t>be5d667e97f0b3bd94debc7b946aecd7</t>
  </si>
  <si>
    <t>3f191c1edeb80678998ec0c8683cefcc</t>
  </si>
  <si>
    <t>85d9eb9ddc5d00ca9336a2219c97bb13</t>
  </si>
  <si>
    <t>69796e4e03edbf9c0f49c76d4ebadb77</t>
  </si>
  <si>
    <t>d8f135a040950408cd059c27a623bd97</t>
  </si>
  <si>
    <t>3a3239fa60ea2f77a53990f66c3f1a45</t>
  </si>
  <si>
    <t>f99f27c6436299deb7afb301de293eba</t>
  </si>
  <si>
    <t>70809734fe201ea6db6d4577b84a3022</t>
  </si>
  <si>
    <t>a7b9ca3e1958817f0415ebbf1fef3941</t>
  </si>
  <si>
    <t>5545be5d02a0d70d1e9b038bf1a5acd7</t>
  </si>
  <si>
    <t>f27e33c6d29b5138fa9967bcd445b6d5</t>
  </si>
  <si>
    <t>56f251ca89f74d06076966d5d49b9dc6</t>
  </si>
  <si>
    <t>f5f8998eee8ec7bc513dc52847d64ce0</t>
  </si>
  <si>
    <t>f09e26011d833ddab11593c1a097a92a</t>
  </si>
  <si>
    <t>248065388c27d5287020c4ff60183298</t>
  </si>
  <si>
    <t>51f06300798e14c37af5f5ea107db194</t>
  </si>
  <si>
    <t>531abf2d5cc78f7a49d9ba560cbbfe7a</t>
  </si>
  <si>
    <t>c893d855b41d9ebc443d3addef1755b0</t>
  </si>
  <si>
    <t>ec2315063d220f8b9a807f21b35c2928</t>
  </si>
  <si>
    <t>4d15efdb77cf36c0c997ee21b8af3abf</t>
  </si>
  <si>
    <t>8ab42aa58097fd4668d60cc648225d5f</t>
  </si>
  <si>
    <t>dddd54d8113f120fbbbbe593502a2d47</t>
  </si>
  <si>
    <t>432c37c9dfba871172ec162e20118b8c</t>
  </si>
  <si>
    <t>682d2a1eb8b2676fc3337cf90c96ca8b</t>
  </si>
  <si>
    <t>08d61eb463e165c095e7de595a773d90</t>
  </si>
  <si>
    <t>6c2df403c867a6aa913b387d92999d43</t>
  </si>
  <si>
    <t>d1bf35d75370a60c682bef1964a52443</t>
  </si>
  <si>
    <t>5c932e0a181410b67c77daaed30991af</t>
  </si>
  <si>
    <t>ef506c96320abeedfb894c34db06f478</t>
  </si>
  <si>
    <t>Each row compares two independently computed numbers. The run is only published when every status is PASS.</t>
  </si>
  <si>
    <t>check_order</t>
  </si>
  <si>
    <t>check_name</t>
  </si>
  <si>
    <t>source_a</t>
  </si>
  <si>
    <t>value_a</t>
  </si>
  <si>
    <t>source_b</t>
  </si>
  <si>
    <t>value_b</t>
  </si>
  <si>
    <t>difference</t>
  </si>
  <si>
    <t>expected_difference</t>
  </si>
  <si>
    <t>status</t>
  </si>
  <si>
    <t>note</t>
  </si>
  <si>
    <t>Orders placed: report vs mart</t>
  </si>
  <si>
    <t>weekly_summary</t>
  </si>
  <si>
    <t>mart.fct_orders (same purchase dates)</t>
  </si>
  <si>
    <t>PASS</t>
  </si>
  <si>
    <t>Product value placed: report vs mart</t>
  </si>
  <si>
    <t>mart.fct_orders</t>
  </si>
  <si>
    <t>Freight value placed: report vs mart</t>
  </si>
  <si>
    <t>Payment value placed: report vs mart</t>
  </si>
  <si>
    <t>Product value placed: order grain vs item grain</t>
  </si>
  <si>
    <t>pit_items (item rows)</t>
  </si>
  <si>
    <t>No join fan-out</t>
  </si>
  <si>
    <t>Freight value placed: order grain vs item grain</t>
  </si>
  <si>
    <t>Orders delivered: report vs mart</t>
  </si>
  <si>
    <t>mart.fct_orders is_delivered (same delivery dates)</t>
  </si>
  <si>
    <t>Expected gap = orders with a delivery date whose extract status is not delivered</t>
  </si>
  <si>
    <t>Late orders: report vs mart</t>
  </si>
  <si>
    <t>mart.fct_orders is_late</t>
  </si>
  <si>
    <t>Same status gap, late orders only</t>
  </si>
  <si>
    <t>Orders delivered: summary vs route table</t>
  </si>
  <si>
    <t>route_diagnosis (all rows)</t>
  </si>
  <si>
    <t>Includes MULTI-ORIGIN row</t>
  </si>
  <si>
    <t>Late orders: summary vs route table</t>
  </si>
  <si>
    <t>Open orders = not yet due + overdue + stale</t>
  </si>
  <si>
    <t>sum of the three open states</t>
  </si>
  <si>
    <t>Overdue orders: summary vs exceptions</t>
  </si>
  <si>
    <t>exceptions (Overdue rows)</t>
  </si>
  <si>
    <t>Every listed overdue order matches one rule</t>
  </si>
  <si>
    <t>Exceptions: one row per order</t>
  </si>
  <si>
    <t>exceptions rows</t>
  </si>
  <si>
    <t>distinct order_id</t>
  </si>
  <si>
    <t>Exceptions listed: summary vs table</t>
  </si>
  <si>
    <t>Product value of exceptions: order grain vs item grain</t>
  </si>
  <si>
    <t>Parameters, code version and input checksums of the loaded run.</t>
  </si>
  <si>
    <t>item</t>
  </si>
  <si>
    <t>Run ID</t>
  </si>
  <si>
    <t>Cut-off date (as_of_date)</t>
  </si>
  <si>
    <t>Window start (inclusive)</t>
  </si>
  <si>
    <t>Window end (inclusive)</t>
  </si>
  <si>
    <t>Information known</t>
  </si>
  <si>
    <t>Label</t>
  </si>
  <si>
    <t>official run</t>
  </si>
  <si>
    <t>Parameter: window_days</t>
  </si>
  <si>
    <t>7</t>
  </si>
  <si>
    <t>Parameter: min_route_sample</t>
  </si>
  <si>
    <t>30</t>
  </si>
  <si>
    <t>Parameter: max_overdue_days</t>
  </si>
  <si>
    <t>Parameter: p1_min_days_overdue</t>
  </si>
  <si>
    <t>8</t>
  </si>
  <si>
    <t>Parameter: p2_min_days_overdue</t>
  </si>
  <si>
    <t>4</t>
  </si>
  <si>
    <t>Reconciliation checks passed</t>
  </si>
  <si>
    <t>15/15</t>
  </si>
  <si>
    <t>Code version (git)</t>
  </si>
  <si>
    <t>Generated at</t>
  </si>
  <si>
    <t>Input SHA-256: orders.parquet</t>
  </si>
  <si>
    <t>c789a6467a47f256531183b9bce342f95d182cfb297275eae66fedac4cf34b97</t>
  </si>
  <si>
    <t>Input SHA-256: order_items.parquet</t>
  </si>
  <si>
    <t>8de089e06ab2caa4498053d484701ed92668affdd8f54412d2cf4ac8b620a5b0</t>
  </si>
  <si>
    <t>Input SHA-256: payments.parquet</t>
  </si>
  <si>
    <t>d76219439f5d9f05cdd2a8202f7f2ab9f2040a4b8f2caf3264b41fbe9646320b</t>
  </si>
  <si>
    <t>Input SHA-256: customers.parquet</t>
  </si>
  <si>
    <t>b5050af783e8d5b8cccc56752b85c0f0de695e0d89ae7db4c2778a9751f1b68a</t>
  </si>
  <si>
    <t>Input SHA-256: sellers.parquet</t>
  </si>
  <si>
    <t>3a0a04e4102ba018177305bc0da9fdc07ed013b2df1f8751eb9c7bd7425ebecc</t>
  </si>
  <si>
    <t>Exceptions by priority and rule. Built on the Exceptions query connection, so Refresh All updates it.</t>
  </si>
  <si>
    <t>Grand Total</t>
  </si>
  <si>
    <t>Orders</t>
  </si>
  <si>
    <t>Product value (BRL)</t>
  </si>
  <si>
    <t>P1 Total</t>
  </si>
  <si>
    <t>P2 Total</t>
  </si>
  <si>
    <t>P3 Total</t>
  </si>
  <si>
    <t>P4 Total</t>
  </si>
  <si>
    <t>176c59d+uncommitted</t>
  </si>
  <si>
    <t>1,595</t>
  </si>
  <si>
    <t>1,590</t>
  </si>
  <si>
    <t>1,804</t>
  </si>
  <si>
    <t>BRL 218,589.17</t>
  </si>
  <si>
    <t>BRL 38,122.50</t>
  </si>
  <si>
    <t>BRL 257,300.03</t>
  </si>
  <si>
    <t>1,483</t>
  </si>
  <si>
    <t>182</t>
  </si>
  <si>
    <t>12.3%</t>
  </si>
  <si>
    <t>4.0</t>
  </si>
  <si>
    <t>6,327</t>
  </si>
  <si>
    <t>3,913</t>
  </si>
  <si>
    <t>529</t>
  </si>
  <si>
    <t>295</t>
  </si>
  <si>
    <t>1,885</t>
  </si>
  <si>
    <t>602</t>
  </si>
  <si>
    <t>234</t>
  </si>
  <si>
    <t>204</t>
  </si>
  <si>
    <t>91</t>
  </si>
  <si>
    <t>73</t>
  </si>
  <si>
    <t>BRL 83,189.63</t>
  </si>
  <si>
    <t>RS -&gt; PR</t>
  </si>
  <si>
    <t>RS -&gt; SC</t>
  </si>
  <si>
    <t>DF -&gt; RJ</t>
  </si>
  <si>
    <t>MG -&gt; CE</t>
  </si>
  <si>
    <t>MG -&gt; PA</t>
  </si>
  <si>
    <t>PR -&gt; RN</t>
  </si>
  <si>
    <t>RS -&gt; RN</t>
  </si>
  <si>
    <t>SC -&gt; PI</t>
  </si>
  <si>
    <t>BA -&gt; ES</t>
  </si>
  <si>
    <t>BA -&gt; MG</t>
  </si>
  <si>
    <t>BA -&gt; PA</t>
  </si>
  <si>
    <t>CE -&gt; RJ</t>
  </si>
  <si>
    <t>DF -&gt; SC</t>
  </si>
  <si>
    <t>GO -&gt; ES</t>
  </si>
  <si>
    <t>GO -&gt; GO</t>
  </si>
  <si>
    <t>GO -&gt; PE</t>
  </si>
  <si>
    <t>GO -&gt; PR</t>
  </si>
  <si>
    <t>MA -&gt; DF</t>
  </si>
  <si>
    <t>MA -&gt; MG</t>
  </si>
  <si>
    <t>MA -&gt; PE</t>
  </si>
  <si>
    <t>MG -&gt; SE</t>
  </si>
  <si>
    <t>MT -&gt; MS</t>
  </si>
  <si>
    <t>MT -&gt; PA</t>
  </si>
  <si>
    <t>MT -&gt; RJ</t>
  </si>
  <si>
    <t>MT -&gt; SP</t>
  </si>
  <si>
    <t>PE -&gt; ES</t>
  </si>
  <si>
    <t>PE -&gt; MA</t>
  </si>
  <si>
    <t>PE -&gt; MS</t>
  </si>
  <si>
    <t>PE -&gt; SC</t>
  </si>
  <si>
    <t>PE -&gt; SE</t>
  </si>
  <si>
    <t>PI -&gt; PI</t>
  </si>
  <si>
    <t>PI -&gt; SC</t>
  </si>
  <si>
    <t>RJ -&gt; SC</t>
  </si>
  <si>
    <t>RS -&gt; PE</t>
  </si>
  <si>
    <t>SC -&gt; CE</t>
  </si>
  <si>
    <t>SC -&gt; RO</t>
  </si>
  <si>
    <t>SP -&gt; RR</t>
  </si>
  <si>
    <t>RR</t>
  </si>
  <si>
    <t>Estimated 2018-02-19; approved 2018-01-17; ship-by 2018-01-23; not handed to carrier by end of 2018-03-18</t>
  </si>
  <si>
    <t>Estimated 2018-02-19; handed to carrier 2018-02-01; no delivery recorded by end of 2018-03-18</t>
  </si>
  <si>
    <t>Estimated 2018-02-19; handed to carrier 2018-01-23; no delivery recorded by end of 2018-03-18</t>
  </si>
  <si>
    <t>Estimated 2018-02-19; approved 2018-01-17; ship-by 2018-01-31; not handed to carrier by end of 2018-03-18</t>
  </si>
  <si>
    <t>Estimated 2018-02-19; approved 2018-01-24; ship-by 2018-01-31; not handed to carrier by end of 2018-03-18</t>
  </si>
  <si>
    <t>Estimated 2018-02-19; handed to carrier 2018-01-26; no delivery recorded by end of 2018-03-18</t>
  </si>
  <si>
    <t>Estimated 2018-02-19; handed to carrier 2018-02-02; no delivery recorded by end of 2018-03-18</t>
  </si>
  <si>
    <t>Estimated 2018-02-19; handed to carrier 2018-02-05; no delivery recorded by end of 2018-03-18</t>
  </si>
  <si>
    <t>Estimated 2018-02-20; approved 2018-01-10; ship-by 2018-01-19; not handed to carrier by end of 2018-03-18</t>
  </si>
  <si>
    <t>Estimated 2018-02-20; handed to carrier 2018-01-22; no delivery recorded by end of 2018-03-18</t>
  </si>
  <si>
    <t>Estimated 2018-02-20; approved 2018-01-19; ship-by 2018-01-25; not handed to carrier by end of 2018-03-18</t>
  </si>
  <si>
    <t>Estimated 2018-02-20; handed to carrier 2018-01-24; no delivery recorded by end of 2018-03-18</t>
  </si>
  <si>
    <t>Estimated 2018-02-20; handed to carrier 2018-01-30; no delivery recorded by end of 2018-03-18</t>
  </si>
  <si>
    <t>Estimated 2018-02-20; handed to carrier 2018-01-26; no delivery recorded by end of 2018-03-18</t>
  </si>
  <si>
    <t>Estimated 2018-02-20; handed to carrier 2018-01-25; no delivery recorded by end of 2018-03-18</t>
  </si>
  <si>
    <t>Estimated 2018-02-20; handed to carrier 2018-02-01; no delivery recorded by end of 2018-03-18</t>
  </si>
  <si>
    <t>Estimated 2018-02-20; handed to carrier 2018-02-06; no delivery recorded by end of 2018-03-18</t>
  </si>
  <si>
    <t>Estimated 2018-02-21; approved 2018-01-11; ship-by 2018-01-22; not handed to carrier by end of 2018-03-18</t>
  </si>
  <si>
    <t>Estimated 2018-02-21; handed to carrier 2018-01-26; no delivery recorded by end of 2018-03-18</t>
  </si>
  <si>
    <t>Estimated 2018-02-21; handed to carrier 2018-01-31; no delivery recorded by end of 2018-03-18</t>
  </si>
  <si>
    <t>Estimated 2018-02-21; handed to carrier 2018-02-06; no delivery recorded by end of 2018-03-18</t>
  </si>
  <si>
    <t>Estimated 2018-02-22; handed to carrier 2018-02-17; no delivery recorded by end of 2018-03-18</t>
  </si>
  <si>
    <t>Estimated 2018-02-22; handed to carrier 2018-02-03; no delivery recorded by end of 2018-03-18</t>
  </si>
  <si>
    <t>Estimated 2018-02-22; handed to carrier 2018-01-25; no delivery recorded by end of 2018-03-18</t>
  </si>
  <si>
    <t>Estimated 2018-02-22; approved 2018-01-22; ship-by 2018-01-26; not handed to carrier by end of 2018-03-18</t>
  </si>
  <si>
    <t>Estimated 2018-02-22; handed to carrier 2018-01-24; no delivery recorded by end of 2018-03-18</t>
  </si>
  <si>
    <t>Estimated 2018-02-22; handed to carrier 2018-01-29; no delivery recorded by end of 2018-03-18</t>
  </si>
  <si>
    <t>Estimated 2018-02-22; handed to carrier 2018-01-18; no delivery recorded by end of 2018-03-18</t>
  </si>
  <si>
    <t>Estimated 2018-02-22; handed to carrier 2018-01-30; no delivery recorded by end of 2018-03-18</t>
  </si>
  <si>
    <t>Estimated 2018-02-22; handed to carrier 2018-01-26; no delivery recorded by end of 2018-03-18</t>
  </si>
  <si>
    <t>Estimated 2018-02-22; handed to carrier 2018-01-31; no delivery recorded by end of 2018-03-18</t>
  </si>
  <si>
    <t>Estimated 2018-02-22; handed to carrier 2018-02-01; no delivery recorded by end of 2018-03-18</t>
  </si>
  <si>
    <t>Estimated 2018-02-22; approved 2018-02-04; ship-by 2018-02-09; not handed to carrier by end of 2018-03-18</t>
  </si>
  <si>
    <t>Estimated 2018-02-22; handed to carrier 2018-02-09; no delivery recorded by end of 2018-03-18</t>
  </si>
  <si>
    <t>Estimated 2018-02-22; approved 2018-02-07; ship-by 2018-02-13; not handed to carrier by end of 2018-03-18</t>
  </si>
  <si>
    <t>Estimated 2018-02-23; handed to carrier 2018-01-15; no delivery recorded by end of 2018-03-18</t>
  </si>
  <si>
    <t>Estimated 2018-02-23; handed to carrier 2018-01-24; no delivery recorded by end of 2018-03-18</t>
  </si>
  <si>
    <t>Estimated 2018-02-23; handed to carrier 2018-01-26; no delivery recorded by end of 2018-03-18</t>
  </si>
  <si>
    <t>Estimated 2018-02-23; handed to carrier 2018-01-25; no delivery recorded by end of 2018-03-18</t>
  </si>
  <si>
    <t>Estimated 2018-02-23; handed to carrier 2018-01-31; no delivery recorded by end of 2018-03-18</t>
  </si>
  <si>
    <t>Estimated 2018-02-23; handed to carrier 2018-02-01; no delivery recorded by end of 2018-03-18</t>
  </si>
  <si>
    <t>Estimated 2018-02-23; handed to carrier 2018-02-05; no delivery recorded by end of 2018-03-18</t>
  </si>
  <si>
    <t>Estimated 2018-02-23; handed to carrier 2018-02-03; no delivery recorded by end of 2018-03-18</t>
  </si>
  <si>
    <t>Estimated 2018-02-23; approved 2018-02-09; ship-by 2018-02-15; not handed to carrier by end of 2018-03-18</t>
  </si>
  <si>
    <t>Estimated 2018-02-26; handed to carrier 2018-01-29; no delivery recorded by end of 2018-03-18</t>
  </si>
  <si>
    <t>Estimated 2018-02-26; approved 2018-01-27; ship-by 2018-02-01; not handed to carrier by end of 2018-03-18</t>
  </si>
  <si>
    <t>Estimated 2018-02-26; handed to carrier 2018-01-30; no delivery recorded by end of 2018-03-18</t>
  </si>
  <si>
    <t>Estimated 2018-02-26; handed to carrier 2018-02-14; no delivery recorded by end of 2018-03-18</t>
  </si>
  <si>
    <t>Estimated 2018-02-26; handed to carrier 2018-02-06; no delivery recorded by end of 2018-03-18</t>
  </si>
  <si>
    <t>Estimated 2018-02-26; approved 2018-02-11; ship-by 2018-02-15; not handed to carrier by end of 2018-03-18</t>
  </si>
  <si>
    <t>Estimated 2018-02-26; handed to carrier 2018-02-15; no delivery recorded by end of 2018-03-18</t>
  </si>
  <si>
    <t>Estimated 2018-03-01; handed to carrier 2018-01-25; no delivery recorded by end of 2018-03-18</t>
  </si>
  <si>
    <t>Estimated 2018-03-01; handed to carrier 2018-01-26; no delivery recorded by end of 2018-03-18</t>
  </si>
  <si>
    <t>Estimated 2018-03-01; handed to carrier 2018-02-01; no delivery recorded by end of 2018-03-18</t>
  </si>
  <si>
    <t>Estimated 2018-03-01; handed to carrier 2018-01-30; no delivery recorded by end of 2018-03-18</t>
  </si>
  <si>
    <t>Estimated 2018-03-01; handed to carrier 2018-02-02; no delivery recorded by end of 2018-03-18</t>
  </si>
  <si>
    <t>Estimated 2018-03-01; handed to carrier 2018-02-03; no delivery recorded by end of 2018-03-18</t>
  </si>
  <si>
    <t>Estimated 2018-03-01; handed to carrier 2018-02-05; no delivery recorded by end of 2018-03-18</t>
  </si>
  <si>
    <t>Estimated 2018-03-01; handed to carrier 2018-02-06; no delivery recorded by end of 2018-03-18</t>
  </si>
  <si>
    <t>Estimated 2018-03-02; handed to carrier 2018-02-01; no delivery recorded by end of 2018-03-18</t>
  </si>
  <si>
    <t>Estimated 2018-03-02; handed to carrier 2018-01-29; no delivery recorded by end of 2018-03-18</t>
  </si>
  <si>
    <t>Estimated 2018-03-02; approved 2018-01-27; ship-by 2018-02-01; not handed to carrier by end of 2018-03-18</t>
  </si>
  <si>
    <t>Estimated 2018-03-02; handed to carrier 2018-01-30; no delivery recorded by end of 2018-03-18</t>
  </si>
  <si>
    <t>Estimated 2018-03-02; handed to carrier 2018-02-06; no delivery recorded by end of 2018-03-18</t>
  </si>
  <si>
    <t>Estimated 2018-03-02; handed to carrier 2018-02-09; no delivery recorded by end of 2018-03-18</t>
  </si>
  <si>
    <t>Estimated 2018-03-02; handed to carrier 2018-02-15; no delivery recorded by end of 2018-03-18</t>
  </si>
  <si>
    <t>Estimated 2018-03-02; approved 2018-01-31; ship-by 2018-02-20; not handed to carrier by end of 2018-03-18</t>
  </si>
  <si>
    <t>Estimated 2018-03-02; approved 2018-02-15; ship-by 2018-02-21; not handed to carrier by end of 2018-03-18</t>
  </si>
  <si>
    <t>Estimated 2018-03-02; handed to carrier 2018-02-16; no delivery recorded by end of 2018-03-18</t>
  </si>
  <si>
    <t>Estimated 2018-03-05; handed to carrier 2018-01-26; no delivery recorded by end of 2018-03-18</t>
  </si>
  <si>
    <t>Estimated 2018-03-05; handed to carrier 2018-01-29; no delivery recorded by end of 2018-03-18</t>
  </si>
  <si>
    <t>Estimated 2018-03-05; handed to carrier 2018-01-30; no delivery recorded by end of 2018-03-18</t>
  </si>
  <si>
    <t>Estimated 2018-03-05; approved 2018-01-29; ship-by 2018-02-02; not handed to carrier by end of 2018-03-18</t>
  </si>
  <si>
    <t>Estimated 2018-03-05; approved 2018-01-16; ship-by 2018-02-05; not handed to carrier by end of 2018-03-18</t>
  </si>
  <si>
    <t>Estimated 2018-03-05; approved 2018-01-31; ship-by 2018-02-06; not handed to carrier by end of 2018-03-18</t>
  </si>
  <si>
    <t>Estimated 2018-03-05; handed to carrier 2018-02-01; no delivery recorded by end of 2018-03-18</t>
  </si>
  <si>
    <t>Estimated 2018-03-05; handed to carrier 2018-02-02; no delivery recorded by end of 2018-03-18</t>
  </si>
  <si>
    <t>Estimated 2018-03-05; approved 2018-02-03; ship-by 2018-02-07; not handed to carrier by end of 2018-03-18</t>
  </si>
  <si>
    <t>Estimated 2018-03-05; handed to carrier 2018-02-19; no delivery recorded by end of 2018-03-18</t>
  </si>
  <si>
    <t>Estimated 2018-03-05; handed to carrier 2018-02-09; no delivery recorded by end of 2018-03-18</t>
  </si>
  <si>
    <t>Estimated 2018-03-05; handed to carrier 2018-02-21; no delivery recorded by end of 2018-03-18</t>
  </si>
  <si>
    <t>Estimated 2018-03-06; handed to carrier 2018-01-25; no delivery recorded by end of 2018-03-18</t>
  </si>
  <si>
    <t>Estimated 2018-03-06; approved 2018-01-30; ship-by 2018-02-05; not handed to carrier by end of 2018-03-18</t>
  </si>
  <si>
    <t>Estimated 2018-03-06; handed to carrier 2018-02-07; no delivery recorded by end of 2018-03-18</t>
  </si>
  <si>
    <t>Estimated 2018-03-06; handed to carrier 2018-02-08; no delivery recorded by end of 2018-03-18</t>
  </si>
  <si>
    <t>Estimated 2018-03-06; handed to carrier 2018-02-17; no delivery recorded by end of 2018-03-18</t>
  </si>
  <si>
    <t>Estimated 2018-03-06; handed to carrier 2018-02-26; no delivery recorded by end of 2018-03-18</t>
  </si>
  <si>
    <t>Estimated 2018-03-06; handed to carrier 2018-02-16; no delivery recorded by end of 2018-03-18</t>
  </si>
  <si>
    <t>Estimated 2018-03-06; handed to carrier 2018-02-14; no delivery recorded by end of 2018-03-18</t>
  </si>
  <si>
    <t>Estimated 2018-03-06; approved 2018-02-11; ship-by 2018-02-15; not handed to carrier by end of 2018-03-18</t>
  </si>
  <si>
    <t>Estimated 2018-03-06; handed to carrier 2018-02-15; no delivery recorded by end of 2018-03-18</t>
  </si>
  <si>
    <t>Estimated 2018-03-06; handed to carrier 2018-02-19; no delivery recorded by end of 2018-03-18</t>
  </si>
  <si>
    <t>Estimated 2018-03-06; handed to carrier 2018-03-06; no delivery recorded by end of 2018-03-18</t>
  </si>
  <si>
    <t>Estimated 2018-03-06; handed to carrier 2018-02-20; no delivery recorded by end of 2018-03-18</t>
  </si>
  <si>
    <t>Estimated 2018-03-06; approved 2018-02-20; ship-by 2018-02-26; not handed to carrier by end of 2018-03-18</t>
  </si>
  <si>
    <t>Estimated 2018-03-07; handed to carrier 2018-02-05; no delivery recorded by end of 2018-03-18</t>
  </si>
  <si>
    <t>Estimated 2018-03-07; handed to carrier 2018-02-03; no delivery recorded by end of 2018-03-18</t>
  </si>
  <si>
    <t>Estimated 2018-03-07; approved 2018-02-04; ship-by 2018-02-09; not handed to carrier by end of 2018-03-18</t>
  </si>
  <si>
    <t>Estimated 2018-03-07; handed to carrier 2018-02-07; no delivery recorded by end of 2018-03-18</t>
  </si>
  <si>
    <t>Estimated 2018-03-07; handed to carrier 2018-02-21; no delivery recorded by end of 2018-03-18</t>
  </si>
  <si>
    <t>Estimated 2018-03-07; handed to carrier 2018-02-15; no delivery recorded by end of 2018-03-18</t>
  </si>
  <si>
    <t>Estimated 2018-03-07; handed to carrier 2018-02-09; no delivery recorded by end of 2018-03-18</t>
  </si>
  <si>
    <t>Estimated 2018-03-07; handed to carrier 2018-02-08; no delivery recorded by end of 2018-03-18</t>
  </si>
  <si>
    <t>Estimated 2018-03-07; approved 2018-02-09; ship-by 2018-02-15; not handed to carrier by end of 2018-03-18</t>
  </si>
  <si>
    <t>Estimated 2018-03-07; handed to carrier 2018-02-16; no delivery recorded by end of 2018-03-18</t>
  </si>
  <si>
    <t>Estimated 2018-03-07; handed to carrier 2018-02-17; no delivery recorded by end of 2018-03-18</t>
  </si>
  <si>
    <t>Estimated 2018-03-07; handed to carrier 2018-02-19; no delivery recorded by end of 2018-03-18</t>
  </si>
  <si>
    <t>Estimated 2018-03-07; approved 2018-02-22; ship-by 2018-02-28; not handed to carrier by end of 2018-03-18</t>
  </si>
  <si>
    <t>Estimated 2018-03-07; purchased 2018-02-13; payment not approved by end of 2018-03-18</t>
  </si>
  <si>
    <t>Estimated 2018-03-07; purchased 2018-02-09; payment not approved by end of 2018-03-18</t>
  </si>
  <si>
    <t>Estimated 2018-03-08; handed to carrier 2018-02-08; no delivery recorded by end of 2018-03-18</t>
  </si>
  <si>
    <t>Estimated 2018-03-08; handed to carrier 2018-02-05; no delivery recorded by end of 2018-03-18</t>
  </si>
  <si>
    <t>Estimated 2018-03-08; handed to carrier 2018-02-16; no delivery recorded by end of 2018-03-18</t>
  </si>
  <si>
    <t>Estimated 2018-03-08; handed to carrier 2018-02-06; no delivery recorded by end of 2018-03-18</t>
  </si>
  <si>
    <t>Estimated 2018-03-08; handed to carrier 2018-02-27; no delivery recorded by end of 2018-03-18</t>
  </si>
  <si>
    <t>Estimated 2018-03-08; handed to carrier 2018-02-07; no delivery recorded by end of 2018-03-18</t>
  </si>
  <si>
    <t>Estimated 2018-03-08; handed to carrier 2018-02-10; no delivery recorded by end of 2018-03-18</t>
  </si>
  <si>
    <t>Estimated 2018-03-08; handed to carrier 2018-02-09; no delivery recorded by end of 2018-03-18</t>
  </si>
  <si>
    <t>Estimated 2018-03-08; approved 2018-02-08; ship-by 2018-02-14; not handed to carrier by end of 2018-03-18</t>
  </si>
  <si>
    <t>Estimated 2018-03-08; handed to carrier 2018-02-14; no delivery recorded by end of 2018-03-18</t>
  </si>
  <si>
    <t>Estimated 2018-03-08; handed to carrier 2018-02-21; no delivery recorded by end of 2018-03-18</t>
  </si>
  <si>
    <t>Estimated 2018-03-08; handed to carrier 2018-02-22; no delivery recorded by end of 2018-03-18</t>
  </si>
  <si>
    <t>Estimated 2018-03-08; approved 2018-02-10; ship-by 2018-02-19; not handed to carrier by end of 2018-03-18</t>
  </si>
  <si>
    <t>Estimated 2018-03-08; handed to carrier 2018-03-10; no delivery recorded by end of 2018-03-18</t>
  </si>
  <si>
    <t>Estimated 2018-03-08; handed to carrier 2018-03-05; no delivery recorded by end of 2018-03-18</t>
  </si>
  <si>
    <t>Estimated 2018-03-08; handed to carrier 2018-02-19; no delivery recorded by end of 2018-03-18</t>
  </si>
  <si>
    <t>Estimated 2018-03-08; handed to carrier 2018-02-15; no delivery recorded by end of 2018-03-18</t>
  </si>
  <si>
    <t>Estimated 2018-03-08; handed to carrier 2018-03-02; no delivery recorded by end of 2018-03-18</t>
  </si>
  <si>
    <t>Estimated 2018-03-08; handed to carrier 2018-02-17; no delivery recorded by end of 2018-03-18</t>
  </si>
  <si>
    <t>Estimated 2018-03-08; handed to carrier 2018-03-01; no delivery recorded by end of 2018-03-18</t>
  </si>
  <si>
    <t>Estimated 2018-03-08; handed to carrier 2018-02-26; no delivery recorded by end of 2018-03-18</t>
  </si>
  <si>
    <t>Estimated 2018-03-09; handed to carrier 2018-02-05; no delivery recorded by end of 2018-03-18</t>
  </si>
  <si>
    <t>Estimated 2018-03-09; handed to carrier 2018-02-06; no delivery recorded by end of 2018-03-18</t>
  </si>
  <si>
    <t>Estimated 2018-03-09; approved 2018-01-22; ship-by 2018-02-09; not handed to carrier by end of 2018-03-18</t>
  </si>
  <si>
    <t>Estimated 2018-03-09; handed to carrier 2018-02-01; no delivery recorded by end of 2018-03-18</t>
  </si>
  <si>
    <t>Estimated 2018-03-09; handed to carrier 2018-02-09; no delivery recorded by end of 2018-03-18</t>
  </si>
  <si>
    <t>Estimated 2018-03-09; approved 2018-02-11; ship-by 2018-02-15; not handed to carrier by end of 2018-03-18</t>
  </si>
  <si>
    <t>Estimated 2018-03-09; handed to carrier 2018-02-15; no delivery recorded by end of 2018-03-18</t>
  </si>
  <si>
    <t>Estimated 2018-03-09; handed to carrier 2018-02-14; no delivery recorded by end of 2018-03-18</t>
  </si>
  <si>
    <t>Estimated 2018-03-09; handed to carrier 2018-02-16; no delivery recorded by end of 2018-03-18</t>
  </si>
  <si>
    <t>Estimated 2018-03-09; handed to carrier 2018-02-20; no delivery recorded by end of 2018-03-18</t>
  </si>
  <si>
    <t>Estimated 2018-03-09; handed to carrier 2018-02-19; no delivery recorded by end of 2018-03-18</t>
  </si>
  <si>
    <t>Estimated 2018-03-09; handed to carrier 2018-03-02; no delivery recorded by end of 2018-03-18</t>
  </si>
  <si>
    <t>Estimated 2018-03-09; handed to carrier 2018-02-22; no delivery recorded by end of 2018-03-18</t>
  </si>
  <si>
    <t>Estimated 2018-03-09; approved 2018-02-19; ship-by 2018-02-23; not handed to carrier by end of 2018-03-18</t>
  </si>
  <si>
    <t>Estimated 2018-03-09; approved 2018-02-15; ship-by 2018-02-23; not handed to carrier by end of 2018-03-18</t>
  </si>
  <si>
    <t>Estimated 2018-03-09; handed to carrier 2018-02-26; no delivery recorded by end of 2018-03-18</t>
  </si>
  <si>
    <t>Estimated 2018-03-09; handed to carrier 2018-02-23; no delivery recorded by end of 2018-03-18</t>
  </si>
  <si>
    <t>2c0032906c603dcc21cd954828fa77d0</t>
  </si>
  <si>
    <t>c1ed9e3daf6154542826a6996af0fb8c</t>
  </si>
  <si>
    <t>Estimated 2018-03-12; handed to carrier 2018-02-16; no delivery recorded by end of 2018-03-18</t>
  </si>
  <si>
    <t>d129a390b12dad8097fca575b31aba6c</t>
  </si>
  <si>
    <t>655220df33262c7e0c4949a147366f94</t>
  </si>
  <si>
    <t>Estimated 2018-03-12; handed to carrier 2018-02-06; no delivery recorded by end of 2018-03-18</t>
  </si>
  <si>
    <t>44918cef2a112fc3f8e4a9b676e5ab23</t>
  </si>
  <si>
    <t>ac3508719a1d8f5b7614b798f70af136</t>
  </si>
  <si>
    <t>Estimated 2018-03-12; handed to carrier 2018-02-07; no delivery recorded by end of 2018-03-18</t>
  </si>
  <si>
    <t>ca3b58af42b9daa0734a85b70fefb260</t>
  </si>
  <si>
    <t>66684ab29bf699746bbe69ca21dcedf5</t>
  </si>
  <si>
    <t>76d5af76d0271110f9af36c92573f765</t>
  </si>
  <si>
    <t>Estimated 2018-03-12; handed to carrier 2018-03-01; no delivery recorded by end of 2018-03-18</t>
  </si>
  <si>
    <t>66dbde751178d7674bd09f18b6d25006</t>
  </si>
  <si>
    <t>55b2ad4123def9f023f3196c460badca</t>
  </si>
  <si>
    <t>01fdefa7697d26ad920e9e0346d4bd1b</t>
  </si>
  <si>
    <t>Estimated 2018-03-12; handed to carrier 2018-02-14; no delivery recorded by end of 2018-03-18</t>
  </si>
  <si>
    <t>d9237a626ce181c849177a05d3e863f2</t>
  </si>
  <si>
    <t>119db78602ec4f8cdb8aa475c1fbf655</t>
  </si>
  <si>
    <t>0da1e80855b93d954fd8f95c571cb191</t>
  </si>
  <si>
    <t>070d165398b553f3b4b851c216b8a358</t>
  </si>
  <si>
    <t>Estimated 2018-03-12; handed to carrier 2018-02-15; no delivery recorded by end of 2018-03-18</t>
  </si>
  <si>
    <t>4c33f92b62a822db77b38b88bc7ad237</t>
  </si>
  <si>
    <t>3b15288545f8928d3e65a8f949a28291</t>
  </si>
  <si>
    <t>efb9ad1c5eb60ac2a3565723d18230fd</t>
  </si>
  <si>
    <t>Estimated 2018-03-12; handed to carrier 2018-02-21; no delivery recorded by end of 2018-03-18</t>
  </si>
  <si>
    <t>8880e2d4468f5aae8e21b63115ce635f</t>
  </si>
  <si>
    <t>059511087f2394ebd55a674537a7c2cc</t>
  </si>
  <si>
    <t>6524b847b982cd56bb5d4b02b776ee42</t>
  </si>
  <si>
    <t>a7d5e53a5efe34103e6b5b67c497c2fa</t>
  </si>
  <si>
    <t>de722cd6dad950a92b7d4f82673f8833</t>
  </si>
  <si>
    <t>Estimated 2018-03-12; handed to carrier 2018-02-23; no delivery recorded by end of 2018-03-18</t>
  </si>
  <si>
    <t>6376db8b01455ca1b4a1c3d89ad69316</t>
  </si>
  <si>
    <t>0c02a4cb5207e682d63a1343cbddd13b</t>
  </si>
  <si>
    <t>Estimated 2018-03-12; handed to carrier 2018-03-14; no delivery recorded by end of 2018-03-18</t>
  </si>
  <si>
    <t>7085eaa515a6aed1d7f7e9f86080db97</t>
  </si>
  <si>
    <t>4992e76a42cb3aad7a7047e0d3d7e729</t>
  </si>
  <si>
    <t>Estimated 2018-03-12; handed to carrier 2018-02-19; no delivery recorded by end of 2018-03-18</t>
  </si>
  <si>
    <t>a7b6379e7ca83fc534678ad86108cff7</t>
  </si>
  <si>
    <t>Estimated 2018-03-12; handed to carrier 2018-02-22; no delivery recorded by end of 2018-03-18</t>
  </si>
  <si>
    <t>bf3381b72ab1dc63ee282883a9018a9d</t>
  </si>
  <si>
    <t>5667f52833bc78e17073dbcd870b6586</t>
  </si>
  <si>
    <t>bd546c347a5a00ff3faed07494bd681e</t>
  </si>
  <si>
    <t>Estimated 2018-03-12; handed to carrier 2018-02-20; no delivery recorded by end of 2018-03-18</t>
  </si>
  <si>
    <t>58be617c22afd358984d890ce826e0c9</t>
  </si>
  <si>
    <t>Estimated 2018-03-12; handed to carrier 2018-02-24; no delivery recorded by end of 2018-03-18</t>
  </si>
  <si>
    <t>707977c86502593ef9aa22201fbcbde5</t>
  </si>
  <si>
    <t>d2cc32c3614a3446aef94cfc1ade79b3</t>
  </si>
  <si>
    <t>Estimated 2018-03-12; handed to carrier 2018-02-26; no delivery recorded by end of 2018-03-18</t>
  </si>
  <si>
    <t>a7ccc4df2d363b2ba9037d1ef834a250</t>
  </si>
  <si>
    <t>23716dd823fe476b656d033ecc6bdb9e</t>
  </si>
  <si>
    <t>9ec3685b1f21c7dfff4f656392b186dd</t>
  </si>
  <si>
    <t>Estimated 2018-03-12; handed to carrier 2018-02-27; no delivery recorded by end of 2018-03-18</t>
  </si>
  <si>
    <t>c4d634f71b69d24d203a3c63edb87e06</t>
  </si>
  <si>
    <t>0885aaf116795758dfeb5f1032487bcd</t>
  </si>
  <si>
    <t>6674020dce60ac29b7de0ffa6d2c34e6</t>
  </si>
  <si>
    <t>cac4c8e7b1ca6252d8f20b2fc1a2e4af</t>
  </si>
  <si>
    <t>8652f7789fe1585b439154b7ae0f4285</t>
  </si>
  <si>
    <t>d66690b9ba115c379910e119811db520</t>
  </si>
  <si>
    <t>2089a6d640999f9b9141ac719b2af596</t>
  </si>
  <si>
    <t>fbf9ac61453ac646ce8ad9783d7d0af6</t>
  </si>
  <si>
    <t>c0563dd588b775f2e37747ef6ad6c92c</t>
  </si>
  <si>
    <t>Estimated 2018-03-12; approved 2018-02-26; ship-by 2018-03-02; not handed to carrier by end of 2018-03-18</t>
  </si>
  <si>
    <t>Estimated 2018-03-12; approved 2018-02-22; ship-by 2018-03-02; not handed to carrier by end of 2018-03-18</t>
  </si>
  <si>
    <t>Estimated 2018-03-12; approved 2018-02-21; ship-by 2018-03-02; not handed to carrier by end of 2018-03-18</t>
  </si>
  <si>
    <t>Estimated 2018-03-12; handed to carrier 2018-03-17; no delivery recorded by end of 2018-03-18</t>
  </si>
  <si>
    <t>Estimated 2018-03-12; approved 2018-02-27; ship-by 2018-03-05; not handed to carrier by end of 2018-03-18</t>
  </si>
  <si>
    <t>34b02644fdec1c2023ccffd67de2b385</t>
  </si>
  <si>
    <t>b8555308bfdb4ca1ed54325a58da9a97</t>
  </si>
  <si>
    <t>05e8a1fd3d354369a3de6e7230a3651f</t>
  </si>
  <si>
    <t>b715c631fdd01580d9de3ed3759523c7</t>
  </si>
  <si>
    <t>Estimated 2018-03-12; purchased 2018-02-17; payment not approved by end of 2018-03-18</t>
  </si>
  <si>
    <t>466839bc7437c08a787345cd313ba3dd</t>
  </si>
  <si>
    <t>Estimated 2018-03-13; approved 2018-01-19; ship-by 2018-02-08; not handed to carrier by end of 2018-03-18</t>
  </si>
  <si>
    <t>2a430c80705b17c17f1e9e5b138e52d5</t>
  </si>
  <si>
    <t>Estimated 2018-03-13; handed to carrier 2018-02-06; no delivery recorded by end of 2018-03-18</t>
  </si>
  <si>
    <t>621f567448cbf2281b22381247c491ca</t>
  </si>
  <si>
    <t>1f9ab4708f3056ede07124aad39a2554</t>
  </si>
  <si>
    <t>Estimated 2018-03-13; handed to carrier 2018-02-07; no delivery recorded by end of 2018-03-18</t>
  </si>
  <si>
    <t>0e3101d26015f1df99a269aeb3fbb02a</t>
  </si>
  <si>
    <t>Estimated 2018-03-13; handed to carrier 2018-02-09; no delivery recorded by end of 2018-03-18</t>
  </si>
  <si>
    <t>6225c94031a1e372349fa17f1891317d</t>
  </si>
  <si>
    <t>31344c16881c08a8a72c6d2eb29918c1</t>
  </si>
  <si>
    <t>Estimated 2018-03-13; handed to carrier 2018-02-08; no delivery recorded by end of 2018-03-18</t>
  </si>
  <si>
    <t>c77e3aa4caf8e752789d9b7ce1caf352</t>
  </si>
  <si>
    <t>07de60b03d150fb3ea09eab5da5e4c8b</t>
  </si>
  <si>
    <t>2049616726f9272f1d1456285ad13cf5</t>
  </si>
  <si>
    <t>fb89df7f89fd1b8f03fa2acca1ba7364</t>
  </si>
  <si>
    <t>Estimated 2018-03-13; handed to carrier 2018-02-14; no delivery recorded by end of 2018-03-18</t>
  </si>
  <si>
    <t>186fc1aa898961515ca374b0a320f6e8</t>
  </si>
  <si>
    <t>14904245b311483b6886be3c2e717e76</t>
  </si>
  <si>
    <t>ac403e440819af1853b7fcd7f04de6c4</t>
  </si>
  <si>
    <t>94b9108d4b637ba65bb4f1e53cfcf8d8</t>
  </si>
  <si>
    <t>23fecfa4bb4a22fea354fcab23bcf1cc</t>
  </si>
  <si>
    <t>bbad7e518d7af88a0897397ffdca1979</t>
  </si>
  <si>
    <t>Estimated 2018-03-13; handed to carrier 2018-02-23; no delivery recorded by end of 2018-03-18</t>
  </si>
  <si>
    <t>dd8a350a80cdda9148a3c806549d2720</t>
  </si>
  <si>
    <t>Estimated 2018-03-13; handed to carrier 2018-02-16; no delivery recorded by end of 2018-03-18</t>
  </si>
  <si>
    <t>b37221105bacc5296a24e7b334498547</t>
  </si>
  <si>
    <t>Estimated 2018-03-13; handed to carrier 2018-02-20; no delivery recorded by end of 2018-03-18</t>
  </si>
  <si>
    <t>Estimated 2018-03-13; approved 2018-02-15; ship-by 2018-02-21; not handed to carrier by end of 2018-03-18</t>
  </si>
  <si>
    <t>5645645107dea4fb252b5fb68ed75db9</t>
  </si>
  <si>
    <t>7586919161935337bf6b6d7ff5779648</t>
  </si>
  <si>
    <t>Estimated 2018-03-13; handed to carrier 2018-02-19; no delivery recorded by end of 2018-03-18</t>
  </si>
  <si>
    <t>1161ed293dc0a40bbed57348919f65ec</t>
  </si>
  <si>
    <t>686809116cd16f0b805804aefb0102a4</t>
  </si>
  <si>
    <t>602044f2c16190c2c6e45eb35c2e21cb</t>
  </si>
  <si>
    <t>2a8c1802fe3f40cb8c4d6c1c8f0834c1</t>
  </si>
  <si>
    <t>cf5c16c1ce5b2de3b5141ae26b58f65f</t>
  </si>
  <si>
    <t>6cedba94f8e590847115a3beec40a4a9</t>
  </si>
  <si>
    <t>463a6c0963417e97f92017b2d8cc2eb2</t>
  </si>
  <si>
    <t>1025f0e2d44d7041d6cf58b6550e0bfa</t>
  </si>
  <si>
    <t>Estimated 2018-03-13; handed to carrier 2018-02-22; no delivery recorded by end of 2018-03-18</t>
  </si>
  <si>
    <t>29ae9ab539215f3bbec11770fc3fe299</t>
  </si>
  <si>
    <t>4eb56038347ee86edd66fb4f2abb0aa5</t>
  </si>
  <si>
    <t>202e894238874491c6d7ab51da37d94c</t>
  </si>
  <si>
    <t>15fa791d5e017f66402dc28c44480657</t>
  </si>
  <si>
    <t>Estimated 2018-03-13; approved 2018-02-17; ship-by 2018-02-26; not handed to carrier by end of 2018-03-18</t>
  </si>
  <si>
    <t>Estimated 2018-03-13; approved 2018-02-21; ship-by 2018-02-27; not handed to carrier by end of 2018-03-18</t>
  </si>
  <si>
    <t>1fa78500e37879853df6bf65220a3994</t>
  </si>
  <si>
    <t>ede0c03645598cdfc63ca8237acbe73d</t>
  </si>
  <si>
    <t>Estimated 2018-03-13; handed to carrier 2018-02-27; no delivery recorded by end of 2018-03-18</t>
  </si>
  <si>
    <t>cd9f7b10571863a4339b5ccdd2365f2f</t>
  </si>
  <si>
    <t>2138ccb85b11a4ec1e37afbd1c8eda1f</t>
  </si>
  <si>
    <t>Estimated 2018-03-13; handed to carrier 2018-02-26; no delivery recorded by end of 2018-03-18</t>
  </si>
  <si>
    <t>9989d0ec04100fce996f6e906ada0278</t>
  </si>
  <si>
    <t>11bfa66332777660bd0640ee84d47006</t>
  </si>
  <si>
    <t>e80adaeb250096a2042a63c4b3d20bcf</t>
  </si>
  <si>
    <t>25c5c91f63607446a97b143d2d535d31</t>
  </si>
  <si>
    <t>Estimated 2018-03-13; handed to carrier 2018-02-28; no delivery recorded by end of 2018-03-18</t>
  </si>
  <si>
    <t>Estimated 2018-03-13; handed to carrier 2018-03-16; no delivery recorded by end of 2018-03-18</t>
  </si>
  <si>
    <t>Estimated 2018-03-13; handed to carrier 2018-03-17; no delivery recorded by end of 2018-03-18</t>
  </si>
  <si>
    <t>Estimated 2018-03-13; approved 2018-02-22; ship-by 2018-03-05; not handed to carrier by end of 2018-03-18</t>
  </si>
  <si>
    <t>Estimated 2018-03-13; approved 2018-02-27; ship-by 2018-03-05; not handed to carrier by end of 2018-03-18</t>
  </si>
  <si>
    <t>6cf51ab464bdd9f7b282f5fe72391383</t>
  </si>
  <si>
    <t>d9426f18fc5bcdadd300db98a31fe40b</t>
  </si>
  <si>
    <t>Estimated 2018-03-13; handed to carrier 2018-03-05; no delivery recorded by end of 2018-03-18</t>
  </si>
  <si>
    <t>7e30f6ae5435d7c05b487f7b5e1d61ba</t>
  </si>
  <si>
    <t>Estimated 2018-03-13; handed to carrier 2018-03-02; no delivery recorded by end of 2018-03-18</t>
  </si>
  <si>
    <t>269507123b136cce3d2f6c5915f11bad</t>
  </si>
  <si>
    <t>73628c6d02ed8f6134d9752cd7b83c2a</t>
  </si>
  <si>
    <t>930f7f40db5f938e56fbc1bdcd1bb28b</t>
  </si>
  <si>
    <t>c47e4de55f6735f7ddc4c6026769d569</t>
  </si>
  <si>
    <t>ccb48770165d34335e1d156d6d2c6ec7</t>
  </si>
  <si>
    <t>ec60e48662eb9eaf9ae685a3afa56518</t>
  </si>
  <si>
    <t>a20191650d84d1d59f72139a87207a3b</t>
  </si>
  <si>
    <t>1da3aeb70d7989d1e6d9b0e887f97c23</t>
  </si>
  <si>
    <t>Estimated 2018-03-14; approved 2018-01-22; ship-by 2018-01-26; not handed to carrier by end of 2018-03-18</t>
  </si>
  <si>
    <t>9e1571408c90f2235bf00d6fd15f8d51</t>
  </si>
  <si>
    <t>817245bcc3badd82bbd222e0366951a6</t>
  </si>
  <si>
    <t>Estimated 2018-03-14; handed to carrier 2018-02-07; no delivery recorded by end of 2018-03-18</t>
  </si>
  <si>
    <t>8ac5066a163c60c1ae9bf17200df3dd1</t>
  </si>
  <si>
    <t>Estimated 2018-03-14; handed to carrier 2018-02-21; no delivery recorded by end of 2018-03-18</t>
  </si>
  <si>
    <t>a249134c21e6cc24928060768941584e</t>
  </si>
  <si>
    <t>Estimated 2018-03-14; handed to carrier 2018-02-15; no delivery recorded by end of 2018-03-18</t>
  </si>
  <si>
    <t>eb2efae7334e4776381755ecd7c831dc</t>
  </si>
  <si>
    <t>5b67882648febfb6e1225e6ad7164f6b</t>
  </si>
  <si>
    <t>Estimated 2018-03-14; handed to carrier 2018-02-14; no delivery recorded by end of 2018-03-18</t>
  </si>
  <si>
    <t>Estimated 2018-03-14; approved 2018-02-13; ship-by 2018-02-19; not handed to carrier by end of 2018-03-18</t>
  </si>
  <si>
    <t>Estimated 2018-03-14; approved 2018-02-05; ship-by 2018-02-19; not handed to carrier by end of 2018-03-18</t>
  </si>
  <si>
    <t>38fad35c11cb18574e36b947cdd1a222</t>
  </si>
  <si>
    <t>59b22a78efb79a4797979612b885db36</t>
  </si>
  <si>
    <t>Estimated 2018-03-14; handed to carrier 2018-02-22; no delivery recorded by end of 2018-03-18</t>
  </si>
  <si>
    <t>8eaa57692984fa5db36b0fdeaf44b66a</t>
  </si>
  <si>
    <t>0aea4c6ae1505b3228ddf3dd7822ee5b</t>
  </si>
  <si>
    <t>89739437b72ddcc97ca62d9ce338d0fd</t>
  </si>
  <si>
    <t>Estimated 2018-03-14; handed to carrier 2018-02-16; no delivery recorded by end of 2018-03-18</t>
  </si>
  <si>
    <t>9baba2001be25ff76212cddad73139de</t>
  </si>
  <si>
    <t>13b7cdafde78bebb404d4dc74c04fb82</t>
  </si>
  <si>
    <t>3c487ae8f8d7542beff5788e2e0aea83</t>
  </si>
  <si>
    <t>3b0e5a99d50a2371dc4f0dfbaf0a2a76</t>
  </si>
  <si>
    <t>821fb029fc6e495ca4f08a35d51e53a5</t>
  </si>
  <si>
    <t>Estimated 2018-03-14; handed to carrier 2018-02-20; no delivery recorded by end of 2018-03-18</t>
  </si>
  <si>
    <t>9eb33d99dc51609493052a2822975ebc</t>
  </si>
  <si>
    <t>95c9b6a458336c5de68ca8d1ba553078</t>
  </si>
  <si>
    <t>bfd27a966d91cfaafdb25d076585f0da</t>
  </si>
  <si>
    <t>3a53d5a9a0c58d291ff3ae407b6df5fd</t>
  </si>
  <si>
    <t>ef0ace09169ac090589d85746e3e036f</t>
  </si>
  <si>
    <t>Estimated 2018-03-14; handed to carrier 2018-02-19; no delivery recorded by end of 2018-03-18</t>
  </si>
  <si>
    <t>Estimated 2018-03-14; approved 2018-02-16; ship-by 2018-02-22; not handed to carrier by end of 2018-03-18</t>
  </si>
  <si>
    <t>Estimated 2018-03-14; approved 2018-02-18; ship-by 2018-02-22; not handed to carrier by end of 2018-03-18</t>
  </si>
  <si>
    <t>2fe3cac4410271c6297a141898af28f0</t>
  </si>
  <si>
    <t>Estimated 2018-03-14; handed to carrier 2018-03-02; no delivery recorded by end of 2018-03-18</t>
  </si>
  <si>
    <t>Estimated 2018-03-14; handed to carrier 2018-03-13; no delivery recorded by end of 2018-03-18</t>
  </si>
  <si>
    <t>6937859dba684e88640f04b2fd471d7c</t>
  </si>
  <si>
    <t>1c129092bf23f28a5930387c980c0dfc</t>
  </si>
  <si>
    <t>68517b95130ed0ea1dbcc575b88d6a9c</t>
  </si>
  <si>
    <t>03b936f126145f2bb36600400aedb13a</t>
  </si>
  <si>
    <t>6b1e15c6a0e45c136eb1b2474ca126e9</t>
  </si>
  <si>
    <t>729f06993dac8e860d4f02d7088ca48a</t>
  </si>
  <si>
    <t>c982c1af10010b2f227a2ceb69a994fa</t>
  </si>
  <si>
    <t>bf5099786cc9dcd17a4961c9406fb3f3</t>
  </si>
  <si>
    <t>Estimated 2018-03-14; approved 2018-02-16; ship-by 2018-02-23; not handed to carrier by end of 2018-03-18</t>
  </si>
  <si>
    <t>f8e1c556dbd76c6784f4283973f0095f</t>
  </si>
  <si>
    <t>Estimated 2018-03-14; handed to carrier 2018-03-14; no delivery recorded by end of 2018-03-18</t>
  </si>
  <si>
    <t>Estimated 2018-03-14; handed to carrier 2018-03-12; no delivery recorded by end of 2018-03-18</t>
  </si>
  <si>
    <t>636cdd02667dc8d76d9296bf20a6890a</t>
  </si>
  <si>
    <t>24a562b69731cbec7439c1752c500f82</t>
  </si>
  <si>
    <t>Estimated 2018-03-14; handed to carrier 2018-02-24; no delivery recorded by end of 2018-03-18</t>
  </si>
  <si>
    <t>e65296eb50fe1920930ee46ff3337238</t>
  </si>
  <si>
    <t>e53516f14e3cc830f4afa84315707e9a</t>
  </si>
  <si>
    <t>Estimated 2018-03-14; handed to carrier 2018-02-26; no delivery recorded by end of 2018-03-18</t>
  </si>
  <si>
    <t>841155000418a8a525b16b90fac1dcd3</t>
  </si>
  <si>
    <t>e56d6fad37333104e525678504e3b8c3</t>
  </si>
  <si>
    <t>57e4399c47c85b49ab7fef194b4e14b7</t>
  </si>
  <si>
    <t>adaab7718f21c04f40290e5afb01486b</t>
  </si>
  <si>
    <t>bf84056e679dbe9c69929847a40e338f</t>
  </si>
  <si>
    <t>Estimated 2018-03-14; handed to carrier 2018-02-23; no delivery recorded by end of 2018-03-18</t>
  </si>
  <si>
    <t>f24bbebc2c8ba687b65f1be751dd8982</t>
  </si>
  <si>
    <t>4e5725ba188db8252977a4f0227bd462</t>
  </si>
  <si>
    <t>5f3cc66c9f5ac196a1f367c0fa52695f</t>
  </si>
  <si>
    <t>16090f2ca825584b5a147ab24aa30c86</t>
  </si>
  <si>
    <t>510bff1cf06be1143d3b6698df2fd486</t>
  </si>
  <si>
    <t>b18dc380845b24038cfc48006478f099</t>
  </si>
  <si>
    <t>fa5e15141bbda711d3cf04222db75d2b</t>
  </si>
  <si>
    <t>8711e162ef4e4e3a2e036a5ea880b844</t>
  </si>
  <si>
    <t>7d13fca15225358621be4086e1eb0964</t>
  </si>
  <si>
    <t>Estimated 2018-03-14; handed to carrier 2018-03-07; no delivery recorded by end of 2018-03-18</t>
  </si>
  <si>
    <t>39730c5c34015c1ef1cc42708264b56d</t>
  </si>
  <si>
    <t>Estimated 2018-03-14; approved 2018-02-14; ship-by 2018-02-28; not handed to carrier by end of 2018-03-18</t>
  </si>
  <si>
    <t>d1292ab43d93a1211d5e3f6589be78af</t>
  </si>
  <si>
    <t>a05690d552685ceea5a59b90a278823d</t>
  </si>
  <si>
    <t>cd68562d3f44870c08922d380acae552</t>
  </si>
  <si>
    <t>469a464be162099fa2c0e8f1cfc871db</t>
  </si>
  <si>
    <t>Estimated 2018-03-14; handed to carrier 2018-02-27; no delivery recorded by end of 2018-03-18</t>
  </si>
  <si>
    <t>2d476d9a9af938c2ab76a4aefb7e74d7</t>
  </si>
  <si>
    <t>901db8b5147279a8318455a65fcd653e</t>
  </si>
  <si>
    <t>245d1537baa4ed68d968e3c0f2ca5d16</t>
  </si>
  <si>
    <t>cee48807215b30a12ca2ca10ffb5f250</t>
  </si>
  <si>
    <t>85d42749c9d00c658c40e73f8e4d667b</t>
  </si>
  <si>
    <t>a416b6a846a11724393025641d4edd5e</t>
  </si>
  <si>
    <t>Estimated 2018-03-14; handed to carrier 2018-03-06; no delivery recorded by end of 2018-03-18</t>
  </si>
  <si>
    <t>5c2049caca936695cfa43805ebe7d8e3</t>
  </si>
  <si>
    <t>Estimated 2018-03-15; handed to carrier 2018-02-07; no delivery recorded by end of 2018-03-18</t>
  </si>
  <si>
    <t>fbdefc6748a086900f96b1713c6bb1ea</t>
  </si>
  <si>
    <t>2e1a7d075abe038c1b2743005fe42ff1</t>
  </si>
  <si>
    <t>Estimated 2018-03-15; handed to carrier 2018-02-15; no delivery recorded by end of 2018-03-18</t>
  </si>
  <si>
    <t>9611ab69e91e4ac464dc5db706daf0e6</t>
  </si>
  <si>
    <t>3359d2d84d5a8f9b5f53c65f926c5ec1</t>
  </si>
  <si>
    <t>8160255418d5aaa7dbdc9f4c64ebda44</t>
  </si>
  <si>
    <t>Estimated 2018-03-15; handed to carrier 2018-02-17; no delivery recorded by end of 2018-03-18</t>
  </si>
  <si>
    <t>e2efd05161881ff66ece867b9221e6df</t>
  </si>
  <si>
    <t>Estimated 2018-03-15; handed to carrier 2018-02-20; no delivery recorded by end of 2018-03-18</t>
  </si>
  <si>
    <t>d23957cc89dc81d6073de66716d2cf82</t>
  </si>
  <si>
    <t>1c68394e931a64f90ea236c5ea590300</t>
  </si>
  <si>
    <t>Estimated 2018-03-15; handed to carrier 2018-02-14; no delivery recorded by end of 2018-03-18</t>
  </si>
  <si>
    <t>f07ffa8133ca1dcbc015a9c0ee98c872</t>
  </si>
  <si>
    <t>Estimated 2018-03-15; handed to carrier 2018-02-19; no delivery recorded by end of 2018-03-18</t>
  </si>
  <si>
    <t>d8b354d53fff40dcc80a7e64dbfc2878</t>
  </si>
  <si>
    <t>6a8b085f816a1f75f92dbac6eb545f8f</t>
  </si>
  <si>
    <t>2a103014bffb0e98ec7019d0c7856548</t>
  </si>
  <si>
    <t>Estimated 2018-03-15; handed to carrier 2018-02-16; no delivery recorded by end of 2018-03-18</t>
  </si>
  <si>
    <t>9707e5dd2b32ab5cc39155a27eb3d0ec</t>
  </si>
  <si>
    <t>b55638ad525e906c698fa2ce742c1742</t>
  </si>
  <si>
    <t>Estimated 2018-03-15; handed to carrier 2018-02-21; no delivery recorded by end of 2018-03-18</t>
  </si>
  <si>
    <t>160785e29f32dad981f631989203a58b</t>
  </si>
  <si>
    <t>9781e9a5064f50e5bb4ce028b9f1963b</t>
  </si>
  <si>
    <t>Estimated 2018-03-15; handed to carrier 2018-02-23; no delivery recorded by end of 2018-03-18</t>
  </si>
  <si>
    <t>5533f1edcb0023c063b64b627abc4024</t>
  </si>
  <si>
    <t>38edd38dc17b36d7fd7554100453f1bd</t>
  </si>
  <si>
    <t>004c9cd9d87a3c30c522c48c4fc07416</t>
  </si>
  <si>
    <t>66fda4a54fb43b9ec8ef4e032eaa7e54</t>
  </si>
  <si>
    <t>Estimated 2018-03-15; handed to carrier 2018-02-22; no delivery recorded by end of 2018-03-18</t>
  </si>
  <si>
    <t>3a02f2abd527b2a2b0504aa48bc1b7c2</t>
  </si>
  <si>
    <t>5b9f98f4f7f84913dfb746a86bb11ab1</t>
  </si>
  <si>
    <t>ac2da4ffeb7023f0237c1f1418c78916</t>
  </si>
  <si>
    <t>Estimated 2018-03-15; handed to carrier 2018-03-05; no delivery recorded by end of 2018-03-18</t>
  </si>
  <si>
    <t>c2926e31138df3c04db3e35ee72471ff</t>
  </si>
  <si>
    <t>be1693153a2546fb409f9520c6e83703</t>
  </si>
  <si>
    <t>13a60be94bc36bf7c5f1e0a849cdd6e4</t>
  </si>
  <si>
    <t>5343d0649eca2a983820bfe93fc4d17e</t>
  </si>
  <si>
    <t>2cfc79d9582e9135c0a9b61fa60e6b21</t>
  </si>
  <si>
    <t>cf66a791440b22e6e21c4c339d07c001</t>
  </si>
  <si>
    <t>Estimated 2018-03-15; handed to carrier 2018-02-26; no delivery recorded by end of 2018-03-18</t>
  </si>
  <si>
    <t>514ed457190c903720b7fd33660c486d</t>
  </si>
  <si>
    <t>d87b1839583018f4810f6dc5b3a273e8</t>
  </si>
  <si>
    <t>e3667abef962f425cb19e50231a2456f</t>
  </si>
  <si>
    <t>a066df7361163e7ddc5d7452dd17448b</t>
  </si>
  <si>
    <t>53ec6e6945a5e805d1d8a58329b8e693</t>
  </si>
  <si>
    <t>35fb511489d9ee3ee27a76debce9df06</t>
  </si>
  <si>
    <t>Estimated 2018-03-15; handed to carrier 2018-02-27; no delivery recorded by end of 2018-03-18</t>
  </si>
  <si>
    <t>b5e736024d63e27310ce4f9bc03fbc7c</t>
  </si>
  <si>
    <t>4d38bf00b95dbf4dcf2820177584ade9</t>
  </si>
  <si>
    <t>6f56d701fdaa7fc3575ddda3bed5fbbb</t>
  </si>
  <si>
    <t>41fecd3ee080963d54b99007e1393f97</t>
  </si>
  <si>
    <t>cd94dbdc801da0cd93b0c8f33663973d</t>
  </si>
  <si>
    <t>Estimated 2018-03-15; handed to carrier 2018-02-24; no delivery recorded by end of 2018-03-18</t>
  </si>
  <si>
    <t>226bdeb6252bfee90f63517f430be2e9</t>
  </si>
  <si>
    <t>324583d68897f5ddbaf38f6248322176</t>
  </si>
  <si>
    <t>c801ee070159af89f5ce2b8c03e9e032</t>
  </si>
  <si>
    <t>7ad32824caee82087b3e2e5f33b1bf32</t>
  </si>
  <si>
    <t>3b2306ebbd3f8e2923984f42b2c03228</t>
  </si>
  <si>
    <t>ab71e5dff0ed652f1559e1860391bd22</t>
  </si>
  <si>
    <t>8e8a7ce9f2f970dc00e2acf6f6e199f6</t>
  </si>
  <si>
    <t>616349dfee9e27679881b25bfc3af335</t>
  </si>
  <si>
    <t>6fc26fe110feebd80a433e1f012a84f9</t>
  </si>
  <si>
    <t>39f428ffba2a9207ffb6406237ffe25a</t>
  </si>
  <si>
    <t>72356c7f42069d35de8cdab7e6ec6b6f</t>
  </si>
  <si>
    <t>9e8d7ab8137bcd3cfeac577dddf35592</t>
  </si>
  <si>
    <t>add8925a882ced65862ec18298e38f3e</t>
  </si>
  <si>
    <t>1b3190b2dfa9d789e1f14c05b647a14a</t>
  </si>
  <si>
    <t>005e5166e99d1e4d0c4f808b0540ba94</t>
  </si>
  <si>
    <t>Estimated 2018-03-15; handed to carrier 2018-03-08; no delivery recorded by end of 2018-03-18</t>
  </si>
  <si>
    <t>4dc5a389009b6cb5c61706d49f229a39</t>
  </si>
  <si>
    <t>c60c1ff560443153d7f50771e5fe9b92</t>
  </si>
  <si>
    <t>Estimated 2018-03-15; handed to carrier 2018-03-02; no delivery recorded by end of 2018-03-18</t>
  </si>
  <si>
    <t>76b23067a9ab8343b34607f1be84ca6c</t>
  </si>
  <si>
    <t>1078d496cc6ab9a8e6f2be77abf5091b</t>
  </si>
  <si>
    <t>312ba1d77e9c332ef21f9598b7f64cd7</t>
  </si>
  <si>
    <t>2ba2becdde8cc656098cdc16496a90c6</t>
  </si>
  <si>
    <t>02dcd3e8e25bee036e32512bcf175493</t>
  </si>
  <si>
    <t>e4664080e3689ac85ac132f91bc753db</t>
  </si>
  <si>
    <t>Estimated 2018-03-15; handed to carrier 2018-02-28; no delivery recorded by end of 2018-03-18</t>
  </si>
  <si>
    <t>fa4dbdc2240b30eb41532f7a04684661</t>
  </si>
  <si>
    <t>431af27f296bc6519d890aa5a05fdb11</t>
  </si>
  <si>
    <t>c1c4e2a7fb7eb8066b69234d0b3fd446</t>
  </si>
  <si>
    <t>Estimated 2018-03-15; handed to carrier 2018-03-01; no delivery recorded by end of 2018-03-18</t>
  </si>
  <si>
    <t>40237bfdaa849b45bb6dc75be63c3abf</t>
  </si>
  <si>
    <t>dee656f0f566ed1aa85bd137c943f08f</t>
  </si>
  <si>
    <t>43e2663d8b10c0af66e25a54fc484ca1</t>
  </si>
  <si>
    <t>0fb1f7c7042e9fa84d8d415c5fdec5c9</t>
  </si>
  <si>
    <t>100e8cf23e7518027376ac07ca0ec96b</t>
  </si>
  <si>
    <t>c206348085f589eaf3bcd60a005bb15c</t>
  </si>
  <si>
    <t>e248283e6b8ba09b05efea1000d9478b</t>
  </si>
  <si>
    <t>9c83e5ae8ff2b5cad999c3dc6129a888</t>
  </si>
  <si>
    <t>6edacfd9f9074789dad6d62ba7950b9c</t>
  </si>
  <si>
    <t>b687f81e0e59c1153eaa197ad1c1d043</t>
  </si>
  <si>
    <t>f76a3b1349b6df1ee875d1f3fa4340f0</t>
  </si>
  <si>
    <t>Estimated 2018-03-15; approved 2018-03-02; ship-by 2018-03-09; not handed to carrier by end of 2018-03-18</t>
  </si>
  <si>
    <t>Estimated 2018-03-15; approved 2018-03-05; ship-by 2018-03-09; not handed to carrier by end of 2018-03-18</t>
  </si>
  <si>
    <t>68664ce4c84bcf1e6682d90992c7504d</t>
  </si>
  <si>
    <t>8ae36ddb0c9660dabf5341488efb2a30</t>
  </si>
  <si>
    <t>a0c1632c3bd45c48bed924a7dae3a664</t>
  </si>
  <si>
    <t>bbdef4b5ecad947f721ab789db1dd57f</t>
  </si>
  <si>
    <t>d17cbd88da86748917f52864d1be98d0</t>
  </si>
  <si>
    <t>f4bcc27cc1e629c8ea22ae96ab8751ae</t>
  </si>
  <si>
    <t>Estimated 2018-03-16; handed to carrier 2018-02-14; no delivery recorded by end of 2018-03-18</t>
  </si>
  <si>
    <t>4dcff73972e49b77fcb010749fb5433e</t>
  </si>
  <si>
    <t>Estimated 2018-03-16; handed to carrier 2018-02-19; no delivery recorded by end of 2018-03-18</t>
  </si>
  <si>
    <t>67b5c82e01dc9ea4d82fbd3d51e41bae</t>
  </si>
  <si>
    <t>fb87fe28380004e9d6ddcc862b23a82b</t>
  </si>
  <si>
    <t>Estimated 2018-03-16; handed to carrier 2018-02-16; no delivery recorded by end of 2018-03-18</t>
  </si>
  <si>
    <t>eb785b1fc66ac703e6801aef45d2397b</t>
  </si>
  <si>
    <t>Estimated 2018-03-16; handed to carrier 2018-02-15; no delivery recorded by end of 2018-03-18</t>
  </si>
  <si>
    <t>Estimated 2018-03-16; approved 2018-02-15; ship-by 2018-02-21; not handed to carrier by end of 2018-03-18</t>
  </si>
  <si>
    <t>5b4858f2dcf69731f2285a38829bfa7c</t>
  </si>
  <si>
    <t>9d578363f05f0a4f13c35ca532f88192</t>
  </si>
  <si>
    <t>4c3cc41d9fad33476cbf842592458f36</t>
  </si>
  <si>
    <t>Estimated 2018-03-16; handed to carrier 2018-02-20; no delivery recorded by end of 2018-03-18</t>
  </si>
  <si>
    <t>96c85fb240067205674e99425c5df3de</t>
  </si>
  <si>
    <t>Estimated 2018-03-16; handed to carrier 2018-02-28; no delivery recorded by end of 2018-03-18</t>
  </si>
  <si>
    <t>284b02fa3e9a13f33180080d6c8fea2e</t>
  </si>
  <si>
    <t>5cf1acf2432e3672334e331caf413208</t>
  </si>
  <si>
    <t>f938fa004452c776198a593e5fb9056d</t>
  </si>
  <si>
    <t>Estimated 2018-03-16; handed to carrier 2018-02-21; no delivery recorded by end of 2018-03-18</t>
  </si>
  <si>
    <t>c53b15af645d91a057ddba9d0e1f21c7</t>
  </si>
  <si>
    <t>46b18707c8d227291f47dcb0348320ee</t>
  </si>
  <si>
    <t>ef95c45a2c0fca1b7aaee8da7c0013f1</t>
  </si>
  <si>
    <t>4200ddf1967c5e41e48db62bc6d4b5ac</t>
  </si>
  <si>
    <t>4a422e8c9f64de121752b33d4571f783</t>
  </si>
  <si>
    <t>f16290559c863b848c56bd040fe3831c</t>
  </si>
  <si>
    <t>be8e909810184b9b19e886129149d8e5</t>
  </si>
  <si>
    <t>f4a9a8dac06f384b1b71b01d433a1a5b</t>
  </si>
  <si>
    <t>Estimated 2018-03-16; handed to carrier 2018-02-22; no delivery recorded by end of 2018-03-18</t>
  </si>
  <si>
    <t>9f484bd34c118fb45ac92da12aa484bc</t>
  </si>
  <si>
    <t>Estimated 2018-03-16; approved 2018-02-19; ship-by 2018-02-23; not handed to carrier by end of 2018-03-18</t>
  </si>
  <si>
    <t>23d0b20c60078dcc168f59918e82f76f</t>
  </si>
  <si>
    <t>ec74f95e952a1019fb566fe39c383dfe</t>
  </si>
  <si>
    <t>2d2084741ee31a371ffe0b838051d0dc</t>
  </si>
  <si>
    <t>4e7c18b98d84e05cbae3ff0ff03846c2</t>
  </si>
  <si>
    <t>6b99ff92735c747557e84a5f5cd7a560</t>
  </si>
  <si>
    <t>Estimated 2018-03-16; handed to carrier 2018-02-27; no delivery recorded by end of 2018-03-18</t>
  </si>
  <si>
    <t>f09ab7ba678ff9971a9e9b52999030ea</t>
  </si>
  <si>
    <t>3d237fd98f6bc4d3fd3a0eadda50b2a6</t>
  </si>
  <si>
    <t>Estimated 2018-03-16; handed to carrier 2018-03-01; no delivery recorded by end of 2018-03-18</t>
  </si>
  <si>
    <t>b19f25f057ac96ff8c7746e9590989b3</t>
  </si>
  <si>
    <t>23fbdff7118cf3f2b0f4eb5b74f6ee2f</t>
  </si>
  <si>
    <t>0799d89dedaf5ef08f3a90b967cb2ccd</t>
  </si>
  <si>
    <t>822bad9bc42b51213ba522fe87b7ab5d</t>
  </si>
  <si>
    <t>Estimated 2018-03-16; handed to carrier 2018-03-05; no delivery recorded by end of 2018-03-18</t>
  </si>
  <si>
    <t>d555e208900fa538476880123fe0bf31</t>
  </si>
  <si>
    <t>c21a68b298ad2f57646d554dcb49fed8</t>
  </si>
  <si>
    <t>7681ef142fd2c19048da7430856b5588</t>
  </si>
  <si>
    <t>0e4a4de1d15b6df8d4335fb2db61667a</t>
  </si>
  <si>
    <t>Estimated 2018-03-16; handed to carrier 2018-03-08; no delivery recorded by end of 2018-03-18</t>
  </si>
  <si>
    <t>c1310d06e793969c9dfc72a433db577f</t>
  </si>
  <si>
    <t>Estimated 2018-03-16; handed to carrier 2018-02-26; no delivery recorded by end of 2018-03-18</t>
  </si>
  <si>
    <t>9df65e0ad2cbfa0485262629bb2b6605</t>
  </si>
  <si>
    <t>26e2c91ef821e1ff8985f408788fe35b</t>
  </si>
  <si>
    <t>33a3edb84b9df4cb49546859b990ac6d</t>
  </si>
  <si>
    <t>Estimated 2018-03-16; handed to carrier 2018-02-23; no delivery recorded by end of 2018-03-18</t>
  </si>
  <si>
    <t>Estimated 2018-03-16; approved 2018-02-08; ship-by 2018-02-28; not handed to carrier by end of 2018-03-18</t>
  </si>
  <si>
    <t>93fc25a3df1ceb609f6d18ec3ad2470e</t>
  </si>
  <si>
    <t>d3dcf0604eabf0224fbd5948b5e02f69</t>
  </si>
  <si>
    <t>Estimated 2018-03-16; handed to carrier 2018-03-13; no delivery recorded by end of 2018-03-18</t>
  </si>
  <si>
    <t>9f3df5bfd4a69a1bf384e85aba1d0ca7</t>
  </si>
  <si>
    <t>c537dcd8b3ea902501cfa7610144a641</t>
  </si>
  <si>
    <t>f125f3a310c2e5f822d116147de1e474</t>
  </si>
  <si>
    <t>72a055afec5322997eace70e9f743482</t>
  </si>
  <si>
    <t>2b36fe8c73edb9af80b2d3e73b46122a</t>
  </si>
  <si>
    <t>35f741bc89012d1594cfb82d0d9da8b8</t>
  </si>
  <si>
    <t>d5ba419e26d246a0719437cf37d9b46d</t>
  </si>
  <si>
    <t>5c1995c020e0a3b2b23152b3fcfcda76</t>
  </si>
  <si>
    <t>923b32346120d8512fe32b6842bad3c1</t>
  </si>
  <si>
    <t>f636244e2204ad1803e13b363792d655</t>
  </si>
  <si>
    <t>5bc55dbe2f12b6af6d83ed46023e0dc8</t>
  </si>
  <si>
    <t>649a327bed5a2799967cb9c666ff06c1</t>
  </si>
  <si>
    <t>1e07ba4e9a6dafcecd0c46111e477e5c</t>
  </si>
  <si>
    <t>5a93f3ab0ef4c84ed5e1b5dbf23978bc</t>
  </si>
  <si>
    <t>c124ca6c2e3c84647f8694c95abec68b</t>
  </si>
  <si>
    <t>6deb36cf66e9099e0a5896a34db6c7c2</t>
  </si>
  <si>
    <t>Estimated 2018-03-16; handed to carrier 2018-03-02; no delivery recorded by end of 2018-03-18</t>
  </si>
  <si>
    <t>cc61a8a634ed495116b2ce1fc8d1a1e1</t>
  </si>
  <si>
    <t>c1f12f926d0ba950578b4fa41115cbb6</t>
  </si>
  <si>
    <t>0f7a031ff7235289c8ce7270cac7c4ec</t>
  </si>
  <si>
    <t>64e0ed97e04ee5c08429934ecab18de9</t>
  </si>
  <si>
    <t>Estimated 2018-03-16; approved 2018-02-24; ship-by 2018-03-01; not handed to carrier by end of 2018-03-18</t>
  </si>
  <si>
    <t>31c2a1051b9b9899d82d9b980ec8775d</t>
  </si>
  <si>
    <t>2d50d6282f8aa2257819a77bfaa0efe0</t>
  </si>
  <si>
    <t>11642b906362f0d80a1228e1fa45a18e</t>
  </si>
  <si>
    <t>38035a76fee1437dca92e94b3e057af6</t>
  </si>
  <si>
    <t>8afe93422f74d4eb5b74349a643d94e3</t>
  </si>
  <si>
    <t>f84a00e60c73a49e7e851c9bdca3a5bb</t>
  </si>
  <si>
    <t>62dfd92a1007e2ed2fa4403fef1363ba</t>
  </si>
  <si>
    <t>fa86f95c2bce5958b1d9236da9f96926</t>
  </si>
  <si>
    <t>9e97400ef316f1d0209aec475ab50554</t>
  </si>
  <si>
    <t>c679466a1ba6a8bdedcb2396f9e1dcbd</t>
  </si>
  <si>
    <t>f803d953d504e923f69704f85b325828</t>
  </si>
  <si>
    <t>0dd03c63e61e99a366429e9348db886b</t>
  </si>
  <si>
    <t>f7ba60f8c3f99e7ee4042fdef03b70c4</t>
  </si>
  <si>
    <t>22cd5c06a19914a8094c39a506a7ac05</t>
  </si>
  <si>
    <t>172fec73f3614b511c8ae819916ae54a</t>
  </si>
  <si>
    <t>18c643cade587cd125b3a56377985cac</t>
  </si>
  <si>
    <t>71e297393a1e63537a76e338c10dbff8</t>
  </si>
  <si>
    <t>Estimated 2018-03-16; handed to carrier 2018-03-07; no delivery recorded by end of 2018-03-18</t>
  </si>
  <si>
    <t>093b4a025c91a570d1f3b60d428b60a0</t>
  </si>
  <si>
    <t>b6de63fa8c62aeba6eb781539030a825</t>
  </si>
  <si>
    <t>ccbabfa81bc2a6cb8f2326278a01d55c</t>
  </si>
  <si>
    <t>d1c281d3ae149232351cd8c8cc885f0d</t>
  </si>
  <si>
    <t>d5af8fc30f7ecc4a1b23de7dc0377e9f</t>
  </si>
  <si>
    <t>0df3ae9792cce9ed0f0c9b95be40b8ef</t>
  </si>
  <si>
    <t>8dcedca18bb1b1f7a5db3ebb636f372e</t>
  </si>
  <si>
    <t>17dd29c2a9196baed66fc07147b4d819</t>
  </si>
  <si>
    <t>9e4fa2c0dfc591cf67a209b057e1907a</t>
  </si>
  <si>
    <t>0a4bcba63e99001ad0349d8832963afe</t>
  </si>
  <si>
    <t>c95e84ae7a7ece4f18736621998851f3</t>
  </si>
  <si>
    <t>d3f39f05462b79a4562d35893a28f159</t>
  </si>
  <si>
    <t>9f6fbfd6d1361fb26a26f6e26265589a</t>
  </si>
  <si>
    <t>56049934681bbcefb4f6707731ba95a8</t>
  </si>
  <si>
    <t>85e82878a7121ee2d2018b2299b7915e</t>
  </si>
  <si>
    <t>Estimated 2018-03-16; approved 2018-02-14; ship-by 2018-03-06; not handed to carrier by end of 2018-03-18</t>
  </si>
  <si>
    <t>0bda83aa61608436c3403ca200bf12d5</t>
  </si>
  <si>
    <t>6bc3c767bc73e1e4e1ba0670c3d90397</t>
  </si>
  <si>
    <t>3a1a1fec38dd360f15fc912e821e169d</t>
  </si>
  <si>
    <t>d34bae2145edd5228bf4d92832988284</t>
  </si>
  <si>
    <t>891331814ee1cbcb8f77a53b2b136099</t>
  </si>
  <si>
    <t>e11e49042dd9e24863991a081fd4bf19</t>
  </si>
  <si>
    <t>Estimated 2018-03-16; handed to carrier 2018-03-10; no delivery recorded by end of 2018-03-18</t>
  </si>
  <si>
    <t>251777a5426d33b7fd9f124cd2d18972</t>
  </si>
  <si>
    <t>Estimated 2018-03-16; handed to carrier 2018-03-09; no delivery recorded by end of 2018-03-18</t>
  </si>
  <si>
    <t>20085191cbcabee83a2016eb4a9fbf21</t>
  </si>
  <si>
    <t>b91dd40b68675f4dc29339562895ca26</t>
  </si>
  <si>
    <t>Ship-by 2018-02-26 (21 day(s) ago); not handed to carrier; estimated delivery 2018-03-19</t>
  </si>
  <si>
    <t>Ship-by 2018-03-01 (18 day(s) ago); not handed to carrier; estimated delivery 2018-03-19</t>
  </si>
  <si>
    <t>Ship-by 2018-03-02 (17 day(s) ago); not handed to carrier; estimated delivery 2018-03-21</t>
  </si>
  <si>
    <t>Ship-by 2018-03-02 (17 day(s) ago); not handed to carrier; estimated delivery 2018-03-20</t>
  </si>
  <si>
    <t>Ship-by 2018-03-05 (14 day(s) ago); not handed to carrier; estimated delivery 2018-03-26</t>
  </si>
  <si>
    <t>Ship-by 2018-03-05 (14 day(s) ago); not handed to carrier; estimated delivery 2018-03-21</t>
  </si>
  <si>
    <t>Ship-by 2018-03-05 (14 day(s) ago); not handed to carrier; estimated delivery 2018-03-20</t>
  </si>
  <si>
    <t>Ship-by 2018-03-06 (13 day(s) ago); not handed to carrier; estimated delivery 2018-03-22</t>
  </si>
  <si>
    <t>Ship-by 2018-03-06 (13 day(s) ago); not handed to carrier; estimated delivery 2018-03-26</t>
  </si>
  <si>
    <t>Ship-by 2018-03-06 (13 day(s) ago); not handed to carrier; estimated delivery 2018-03-19</t>
  </si>
  <si>
    <t>Ship-by 2018-03-06 (13 day(s) ago); not handed to carrier; estimated delivery 2018-03-21</t>
  </si>
  <si>
    <t>Ship-by 2018-03-07 (12 day(s) ago); not handed to carrier; estimated delivery 2018-03-29</t>
  </si>
  <si>
    <t>Ship-by 2018-03-08 (11 day(s) ago); not handed to carrier; estimated delivery 2018-03-21</t>
  </si>
  <si>
    <t>Ship-by 2018-03-08 (11 day(s) ago); not handed to carrier; estimated delivery 2018-04-11</t>
  </si>
  <si>
    <t>Ship-by 2018-03-08 (11 day(s) ago); not handed to carrier; estimated delivery 2018-03-29</t>
  </si>
  <si>
    <t>Ship-by 2018-03-08 (11 day(s) ago); not handed to carrier; estimated delivery 2018-03-28</t>
  </si>
  <si>
    <t>Ship-by 2018-03-08 (11 day(s) ago); not handed to carrier; estimated delivery 2018-03-23</t>
  </si>
  <si>
    <t>Ship-by 2018-03-08 (11 day(s) ago); not handed to carrier; estimated delivery 2018-03-20</t>
  </si>
  <si>
    <t>Ship-by 2018-03-08 (11 day(s) ago); not handed to carrier; estimated delivery 2018-03-27</t>
  </si>
  <si>
    <t>Ship-by 2018-03-08 (11 day(s) ago); not handed to carrier; estimated delivery 2018-03-26</t>
  </si>
  <si>
    <t>Ship-by 2018-03-08 (11 day(s) ago); not handed to carrier; estimated delivery 2018-04-02</t>
  </si>
  <si>
    <t>Ship-by 2018-03-08 (11 day(s) ago); not handed to carrier; estimated delivery 2018-04-09</t>
  </si>
  <si>
    <t>Ship-by 2018-03-09 (10 day(s) ago); not handed to carrier; estimated delivery 2018-03-21</t>
  </si>
  <si>
    <t>Ship-by 2018-03-09 (10 day(s) ago); not handed to carrier; estimated delivery 2018-03-29</t>
  </si>
  <si>
    <t>Ship-by 2018-03-09 (10 day(s) ago); not handed to carrier; estimated delivery 2018-03-27</t>
  </si>
  <si>
    <t>Ship-by 2018-03-09 (10 day(s) ago); not handed to carrier; estimated delivery 2018-04-02</t>
  </si>
  <si>
    <t>Ship-by 2018-03-11 (8 day(s) ago); not handed to carrier; estimated delivery 2018-03-27</t>
  </si>
  <si>
    <t>0decd9643e5f685a9fc1bf05ab16a186</t>
  </si>
  <si>
    <t>Ship-by 2018-03-12 (7 day(s) ago); not handed to carrier; estimated delivery 2018-04-02</t>
  </si>
  <si>
    <t>be754126110440ba89a5456475333453</t>
  </si>
  <si>
    <t>Ship-by 2018-03-12 (7 day(s) ago); not handed to carrier; estimated delivery 2018-03-28</t>
  </si>
  <si>
    <t>43e1069a30462196f230706e01f65785</t>
  </si>
  <si>
    <t>bf59b8c2b20f173069f5304326665611</t>
  </si>
  <si>
    <t>Ship-by 2018-03-12 (7 day(s) ago); not handed to carrier; estimated delivery 2018-03-20</t>
  </si>
  <si>
    <t>d95dc7171d00d08c5e2c57e693161db7</t>
  </si>
  <si>
    <t>Ship-by 2018-03-12 (7 day(s) ago); not handed to carrier; estimated delivery 2018-03-27</t>
  </si>
  <si>
    <t>05095322e4f3619255e9450335966c33</t>
  </si>
  <si>
    <t>1987cd4be10fe09ee50454f9c354d1c6</t>
  </si>
  <si>
    <t>Ship-by 2018-03-12 (7 day(s) ago); not handed to carrier; estimated delivery 2018-03-23</t>
  </si>
  <si>
    <t>75de3533485debf7b6eb8014b9c9ab76</t>
  </si>
  <si>
    <t>Ship-by 2018-03-12 (7 day(s) ago); not handed to carrier; estimated delivery 2018-03-26</t>
  </si>
  <si>
    <t>a911878b89655a6ca2a33ed01e1c8d3d</t>
  </si>
  <si>
    <t>Ship-by 2018-03-13 (6 day(s) ago); not handed to carrier; estimated delivery 2018-03-19</t>
  </si>
  <si>
    <t>49c9dc330935365ca454ba89a8a20efb</t>
  </si>
  <si>
    <t>Ship-by 2018-03-13 (6 day(s) ago); not handed to carrier; estimated delivery 2018-03-26</t>
  </si>
  <si>
    <t>1ab8b3bd6a4d22497ce5164c01bc0e2c</t>
  </si>
  <si>
    <t>Ship-by 2018-03-13 (6 day(s) ago); not handed to carrier; estimated delivery 2018-04-05</t>
  </si>
  <si>
    <t>febcb6742e4652312e996b6bc7fbcdd8</t>
  </si>
  <si>
    <t>827f8f69dfa529c561901c4f2e0f332f</t>
  </si>
  <si>
    <t>Ship-by 2018-03-13 (6 day(s) ago); not handed to carrier; estimated delivery 2018-03-27</t>
  </si>
  <si>
    <t>40a1b377583e234ad0cb70b2a7f3ea30</t>
  </si>
  <si>
    <t>54065e9aef7e9e9c2dc23b7594db021a</t>
  </si>
  <si>
    <t>Ship-by 2018-03-14 (5 day(s) ago); not handed to carrier; estimated delivery 2018-03-28</t>
  </si>
  <si>
    <t>de2ffdb58d14dd76c8863458e5be6b72</t>
  </si>
  <si>
    <t>Ship-by 2018-03-14 (5 day(s) ago); not handed to carrier; estimated delivery 2018-04-04</t>
  </si>
  <si>
    <t>f099e70d7cf0a758ccb7fb362d477166</t>
  </si>
  <si>
    <t>Ship-by 2018-03-14 (5 day(s) ago); not handed to carrier; estimated delivery 2018-03-26</t>
  </si>
  <si>
    <t>961f2f24951560987b91c89816b10cae</t>
  </si>
  <si>
    <t>Ship-by 2018-03-14 (5 day(s) ago); not handed to carrier; estimated delivery 2018-04-05</t>
  </si>
  <si>
    <t>bb36ee4537bf2692447d8cbf50cf6c11</t>
  </si>
  <si>
    <t>318f287a62ab7ac10b703ac37435a231</t>
  </si>
  <si>
    <t>71c04eba03595f13adc87878455ffa92</t>
  </si>
  <si>
    <t>0ea22c1cfbdc755f86b9b54b39c16043</t>
  </si>
  <si>
    <t>Ship-by 2018-03-14 (5 day(s) ago); not handed to carrier; estimated delivery 2018-03-27</t>
  </si>
  <si>
    <t>fefbe15ebcd87ab3fb8577e635a8b31c</t>
  </si>
  <si>
    <t>9539213aa8e023c01937bef95dc006da</t>
  </si>
  <si>
    <t>Ship-by 2018-03-14 (5 day(s) ago); not handed to carrier; estimated delivery 2018-03-20</t>
  </si>
  <si>
    <t>77e1d11cc4954b7a395f9ecba7edd397</t>
  </si>
  <si>
    <t>c26a2be5b53b7db6b276280da212a779</t>
  </si>
  <si>
    <t>Ship-by 2018-03-15 (4 day(s) ago); not handed to carrier; estimated delivery 2018-04-05</t>
  </si>
  <si>
    <t>ac018e51985244ead60060db0a84f1ad</t>
  </si>
  <si>
    <t>a6bd7d1ccdac48c6b33b28596b7eb122</t>
  </si>
  <si>
    <t>Ship-by 2018-03-15 (4 day(s) ago); not handed to carrier; estimated delivery 2018-04-11</t>
  </si>
  <si>
    <t>751410acff2d9dbfee9158ae8e21d6d6</t>
  </si>
  <si>
    <t>Ship-by 2018-03-15 (4 day(s) ago); not handed to carrier; estimated delivery 2018-04-12</t>
  </si>
  <si>
    <t>33c5dbe43ca27f9986dd3c0f02b94286</t>
  </si>
  <si>
    <t>Ship-by 2018-03-15 (4 day(s) ago); not handed to carrier; estimated delivery 2018-03-26</t>
  </si>
  <si>
    <t>f71952473c83952e23fb55146d59bfe2</t>
  </si>
  <si>
    <t>45d33f715e24d15a6ccf5c17b3a23e3c</t>
  </si>
  <si>
    <t>Ship-by 2018-03-15 (4 day(s) ago); not handed to carrier; estimated delivery 2018-03-22</t>
  </si>
  <si>
    <t>00e054d0da011d5016f31011af488f4f</t>
  </si>
  <si>
    <t>Ship-by 2018-03-15 (4 day(s) ago); not handed to carrier; estimated delivery 2018-03-28</t>
  </si>
  <si>
    <t>81b6015857004cedcfbc04ae95d7bfe5</t>
  </si>
  <si>
    <t>b40011de1f5f6fd26301ad1801f850c8</t>
  </si>
  <si>
    <t>1b81f91da4e3e80f225b9295696ca22d</t>
  </si>
  <si>
    <t>Ship-by 2018-03-15 (4 day(s) ago); not handed to carrier; estimated delivery 2018-03-19</t>
  </si>
  <si>
    <t>08f5487befe25744feabb3203a4dc09b</t>
  </si>
  <si>
    <t>Ship-by 2018-03-15 (4 day(s) ago); not handed to carrier; estimated delivery 2018-04-02</t>
  </si>
  <si>
    <t>1b82cfd1e6a6d682ee254b2ff4cf387f</t>
  </si>
  <si>
    <t>Ship-by 2018-03-15 (4 day(s) ago); not handed to carrier; estimated delivery 2018-03-29</t>
  </si>
  <si>
    <t>ca2c921a5b9d60eba417d106c724c6f6</t>
  </si>
  <si>
    <t>Ship-by 2018-03-15 (4 day(s) ago); not handed to carrier; estimated delivery 2018-04-17</t>
  </si>
  <si>
    <t>e8aed7e2732f05f26379ccfdd493be62</t>
  </si>
  <si>
    <t>9edec07b1f5b49856627e878dc1a41b0</t>
  </si>
  <si>
    <t>33c51922b6e3c16b24a8f28e5833c99d</t>
  </si>
  <si>
    <t>Ship-by 2018-03-16 (3 day(s) ago); not handed to carrier; estimated delivery 2018-04-04</t>
  </si>
  <si>
    <t>37e5806494067b6dcc269c80c272eab2</t>
  </si>
  <si>
    <t>Ship-by 2018-03-16 (3 day(s) ago); not handed to carrier; estimated delivery 2018-03-22</t>
  </si>
  <si>
    <t>51cd5fcee08447be92f8eb9852235f45</t>
  </si>
  <si>
    <t>3f9c56764fabca627406093dcb3ef0b4</t>
  </si>
  <si>
    <t>Ship-by 2018-03-16 (3 day(s) ago); not handed to carrier; estimated delivery 2018-03-28</t>
  </si>
  <si>
    <t>cc0ef7be3ac8e4f2887c5ea6dc590e41</t>
  </si>
  <si>
    <t>21bdc97768bc2e7a3e428d0ede7deb85</t>
  </si>
  <si>
    <t>Ship-by 2018-03-16 (3 day(s) ago); not handed to carrier; estimated delivery 2018-04-03</t>
  </si>
  <si>
    <t>cfe7b4c34db01ec6e038ce0d1f4e75c9</t>
  </si>
  <si>
    <t>Ship-by 2018-03-16 (3 day(s) ago); not handed to carrier; estimated delivery 2018-04-06</t>
  </si>
  <si>
    <t>2a37ffacefea8f1b482d7126c58d7de9</t>
  </si>
  <si>
    <t>86ebe0e8621ac6e5bb8ee0bfad457b5e</t>
  </si>
  <si>
    <t>Ship-by 2018-03-18 (1 day(s) ago); not handed to carrier; estimated delivery 2018-04-06</t>
  </si>
  <si>
    <t>473ab4c505ede7fd6b8de460fb374905</t>
  </si>
  <si>
    <t>Ship-by 2018-03-18 (1 day(s) ago); not handed to carrier; estimated delivery 2018-04-04</t>
  </si>
  <si>
    <t>2018-03-18_20261020T210500</t>
  </si>
  <si>
    <t>2018-03-18</t>
  </si>
  <si>
    <t>2018-03-12</t>
  </si>
  <si>
    <t>events timestamped before 2018-03-19 00:00</t>
  </si>
  <si>
    <t>2026-10-20T21:05:00+08:00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</si>
</sst>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%"/>
    <numFmt numFmtId="178" formatCode="\+0.0%;\-0.0%;0.0%"/>
  </numFmts>
  <fonts count="8" x14ac:knownFonts="1">
    <font>
      <sz val="11"/>
      <color theme="1"/>
      <name val="新細明體"/>
      <family val="2"/>
      <charset val="136"/>
      <scheme val="minor"/>
    </font>
    <font>
      <b/>
      <sz val="16"/>
      <color theme="1"/>
      <name val="新細明體"/>
      <scheme val="minor"/>
    </font>
    <font>
      <i/>
      <sz val="11"/>
      <color theme="1"/>
      <name val="新細明體"/>
      <scheme val="minor"/>
    </font>
    <font>
      <b/>
      <sz val="11"/>
      <color theme="1"/>
      <name val="新細明體"/>
      <scheme val="minor"/>
    </font>
    <font>
      <b/>
      <sz val="12"/>
      <color theme="1"/>
      <name val="新細明體"/>
      <scheme val="minor"/>
    </font>
    <font>
      <i/>
      <sz val="9"/>
      <color theme="1"/>
      <name val="新細明體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EF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58">
    <dxf>
      <numFmt numFmtId="176" formatCode="yyyy\-mm\-dd"/>
    </dxf>
    <dxf>
      <numFmt numFmtId="176" formatCode="yyyy\-mm\-dd"/>
    </dxf>
    <dxf>
      <numFmt numFmtId="176" formatCode="yyyy\-mm\-dd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4" formatCode="#,##0.00"/>
    </dxf>
    <dxf>
      <numFmt numFmtId="178" formatCode="\+0.0%;\-0.0%;0.0%"/>
    </dxf>
    <dxf>
      <numFmt numFmtId="177" formatCode="0.0%"/>
    </dxf>
    <dxf>
      <numFmt numFmtId="3" formatCode="#,##0"/>
    </dxf>
    <dxf>
      <numFmt numFmtId="3" formatCode="#,##0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5.878595601855" createdVersion="6" refreshedVersion="8" minRefreshableVersion="3" recordCount="602" xr:uid="{F6DD8965-2191-40DF-A11A-D8A65BB36D0F}">
  <cacheSource type="external" connectionId="2"/>
  <cacheFields count="27">
    <cacheField name="priority_rank" numFmtId="0">
      <sharedItems containsSemiMixedTypes="0" containsString="0" containsNumber="1" containsInteger="1" minValue="1" maxValue="602"/>
    </cacheField>
    <cacheField name="priority" numFmtId="0">
      <sharedItems count="4">
        <s v="P1"/>
        <s v="P2"/>
        <s v="P3"/>
        <s v="P4"/>
      </sharedItems>
    </cacheField>
    <cacheField name="exception_type" numFmtId="0">
      <sharedItems count="2">
        <s v="Overdue"/>
        <s v="Early warning"/>
      </sharedItems>
    </cacheField>
    <cacheField name="rule_id" numFmtId="0">
      <sharedItems count="4">
        <s v="R2"/>
        <s v="R1"/>
        <s v="R3"/>
        <s v="R4"/>
      </sharedItems>
    </cacheField>
    <cacheField name="rule_reason" numFmtId="0">
      <sharedItems count="4">
        <s v="Overdue, payment approved, not handed to carrier"/>
        <s v="Overdue, handed to carrier, no delivery recorded"/>
        <s v="Overdue, payment not approved by cut-off"/>
        <s v="Not yet due, seller ship-by date passed, not handed to carrier"/>
      </sharedItems>
    </cacheField>
    <cacheField name="order_id" numFmtId="0">
      <sharedItems/>
    </cacheField>
    <cacheField name="purchase_date" numFmtId="0">
      <sharedItems containsSemiMixedTypes="0" containsNonDate="0" containsDate="1" containsString="0" minDate="2017-12-21T00:00:00" maxDate="2018-03-13T00:00:00"/>
    </cacheField>
    <cacheField name="estimated_delivery_date" numFmtId="0">
      <sharedItems containsSemiMixedTypes="0" containsNonDate="0" containsDate="1" containsString="0" minDate="2018-02-19T00:00:00" maxDate="2018-04-18T00:00:00"/>
    </cacheField>
    <cacheField name="days_overdue" numFmtId="0">
      <sharedItems containsString="0" containsBlank="1" containsNumber="1" containsInteger="1" minValue="3" maxValue="28" count="19">
        <n v="28"/>
        <n v="27"/>
        <n v="26"/>
        <n v="25"/>
        <n v="24"/>
        <n v="21"/>
        <n v="18"/>
        <n v="17"/>
        <n v="14"/>
        <n v="13"/>
        <n v="12"/>
        <n v="11"/>
        <n v="10"/>
        <n v="7"/>
        <n v="6"/>
        <n v="5"/>
        <n v="4"/>
        <n v="3"/>
        <m/>
      </sharedItems>
    </cacheField>
    <cacheField name="ship_by_date" numFmtId="0">
      <sharedItems containsNonDate="0" containsDate="1" containsString="0" containsBlank="1" minDate="2018-01-11T00:00:00" maxDate="2018-03-19T00:00:00"/>
    </cacheField>
    <cacheField name="approved_by_cutoff" numFmtId="0">
      <sharedItems count="2">
        <b v="1"/>
        <b v="0"/>
      </sharedItems>
    </cacheField>
    <cacheField name="carrier_handover_date" numFmtId="0">
      <sharedItems containsNonDate="0" containsDate="1" containsString="0" containsBlank="1" minDate="2018-01-15T00:00:00" maxDate="2018-03-18T00:00:00"/>
    </cacheField>
    <cacheField name="became_overdue_this_window" numFmtId="0">
      <sharedItems count="2">
        <b v="0"/>
        <b v="1"/>
      </sharedItems>
    </cacheField>
    <cacheField name="n_items" numFmtId="0">
      <sharedItems containsSemiMixedTypes="0" containsString="0" containsNumber="1" containsInteger="1" minValue="0" maxValue="6" count="7">
        <n v="4"/>
        <n v="1"/>
        <n v="2"/>
        <n v="0"/>
        <n v="3"/>
        <n v="6"/>
        <n v="5"/>
      </sharedItems>
    </cacheField>
    <cacheField name="n_sellers" numFmtId="0">
      <sharedItems containsSemiMixedTypes="0" containsString="0" containsNumber="1" containsInteger="1" minValue="0" maxValue="1" count="2">
        <n v="1"/>
        <n v="0"/>
      </sharedItems>
    </cacheField>
    <cacheField name="seller_id" numFmtId="0">
      <sharedItems/>
    </cacheField>
    <cacheField name="seller_attribution" numFmtId="0">
      <sharedItems count="2">
        <s v="single seller"/>
        <s v="no items recorded"/>
      </sharedItems>
    </cacheField>
    <cacheField name="origin_states" numFmtId="0">
      <sharedItems count="12">
        <s v="SP"/>
        <s v="MG"/>
        <s v=""/>
        <s v="PR"/>
        <s v="RJ"/>
        <s v="SC"/>
        <s v="BA"/>
        <s v="DF"/>
        <s v="RS"/>
        <s v="PE"/>
        <s v="GO"/>
        <s v="PB"/>
      </sharedItems>
    </cacheField>
    <cacheField name="customer_state" numFmtId="0">
      <sharedItems count="24">
        <s v="AL"/>
        <s v="RJ"/>
        <s v="MG"/>
        <s v="SP"/>
        <s v="BA"/>
        <s v="RS"/>
        <s v="CE"/>
        <s v="ES"/>
        <s v="SC"/>
        <s v="GO"/>
        <s v="PR"/>
        <s v="MA"/>
        <s v="TO"/>
        <s v="PE"/>
        <s v="RN"/>
        <s v="MT"/>
        <s v="PA"/>
        <s v="DF"/>
        <s v="PI"/>
        <s v="SE"/>
        <s v="RR"/>
        <s v="MS"/>
        <s v="PB"/>
        <s v="AC"/>
      </sharedItems>
    </cacheField>
    <cacheField name="product_value" numFmtId="0">
      <sharedItems containsSemiMixedTypes="0" containsString="0" containsNumber="1" minValue="0" maxValue="2029"/>
    </cacheField>
    <cacheField name="freight_value" numFmtId="0">
      <sharedItems containsSemiMixedTypes="0" containsString="0" containsNumber="1" minValue="0" maxValue="262.72000000000003"/>
    </cacheField>
    <cacheField name="payment_value" numFmtId="0">
      <sharedItems containsSemiMixedTypes="0" containsString="0" containsNumber="1" minValue="17.64" maxValue="2092.86"/>
    </cacheField>
    <cacheField name="evidence" numFmtId="0">
      <sharedItems/>
    </cacheField>
    <cacheField name="suggested_action" numFmtId="0">
      <sharedItems count="4">
        <s v="Ask seller(s) for dispatch date; consider proactive message to customer"/>
        <s v="Ask carrier for tracking status; consider proactive message to customer"/>
        <s v="Check payment status and whether the order was cancelled; close or notify customer"/>
        <s v="Remind seller(s) to dispatch before the estimated delivery date"/>
      </sharedItems>
    </cacheField>
    <cacheField name="as_of_date" numFmtId="0">
      <sharedItems containsSemiMixedTypes="0" containsNonDate="0" containsDate="1" containsString="0" minDate="2018-03-18T00:00:00" maxDate="2018-03-19T00:00:00" count="1">
        <d v="2018-03-18T00:00:00"/>
      </sharedItems>
    </cacheField>
    <cacheField name="window_start" numFmtId="0">
      <sharedItems containsSemiMixedTypes="0" containsNonDate="0" containsDate="1" containsString="0" minDate="2018-03-12T00:00:00" maxDate="2018-03-13T00:00:00" count="1">
        <d v="2018-03-12T00:00:00"/>
      </sharedItems>
    </cacheField>
    <cacheField name="window_end" numFmtId="0">
      <sharedItems containsSemiMixedTypes="0" containsNonDate="0" containsDate="1" containsString="0" minDate="2018-03-18T00:00:00" maxDate="2018-03-19T00:00:00" count="1">
        <d v="2018-03-1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n v="1"/>
    <x v="0"/>
    <x v="0"/>
    <x v="0"/>
    <x v="0"/>
    <s v="8ed46f28f884bd76db1f8d95fc27a5f4"/>
    <d v="2018-01-15T00:00:00"/>
    <d v="2018-02-19T00:00:00"/>
    <x v="0"/>
    <d v="2018-01-23T00:00:00"/>
    <x v="0"/>
    <m/>
    <x v="0"/>
    <x v="0"/>
    <x v="0"/>
    <s v="55c96925041a14097b6a7825554f4ad5"/>
    <x v="0"/>
    <x v="0"/>
    <x v="0"/>
    <n v="124.8"/>
    <n v="142.68"/>
    <n v="267.48"/>
    <s v="Estimated 2018-02-19; approved 2018-01-17; ship-by 2018-01-23; not handed to carrier by end of 2018-03-18"/>
    <x v="0"/>
    <x v="0"/>
    <x v="0"/>
    <x v="0"/>
  </r>
  <r>
    <n v="2"/>
    <x v="0"/>
    <x v="0"/>
    <x v="1"/>
    <x v="1"/>
    <s v="47e96b5cb6f0592d336b6bf8a817d1c3"/>
    <d v="2018-01-21T00:00:00"/>
    <d v="2018-02-19T00:00:00"/>
    <x v="0"/>
    <d v="2018-01-26T00:00:00"/>
    <x v="0"/>
    <d v="2018-02-01T00:00:00"/>
    <x v="0"/>
    <x v="1"/>
    <x v="0"/>
    <s v="0adac9fbd9a2b63cccaac4f8756c1ca8"/>
    <x v="0"/>
    <x v="0"/>
    <x v="1"/>
    <n v="120.9"/>
    <n v="16.61"/>
    <n v="137.51"/>
    <s v="Estimated 2018-02-19; handed to carrier 2018-02-01; no delivery recorded by end of 2018-03-18"/>
    <x v="1"/>
    <x v="0"/>
    <x v="0"/>
    <x v="0"/>
  </r>
  <r>
    <n v="3"/>
    <x v="0"/>
    <x v="0"/>
    <x v="1"/>
    <x v="1"/>
    <s v="05a0f6d062da2d6c66fa846737770d35"/>
    <d v="2018-01-22T00:00:00"/>
    <d v="2018-02-19T00:00:00"/>
    <x v="0"/>
    <d v="2018-01-30T00:00:00"/>
    <x v="0"/>
    <d v="2018-01-23T00:00:00"/>
    <x v="0"/>
    <x v="2"/>
    <x v="0"/>
    <s v="1b938a7ec6ac5061a66a3766e0e75f90"/>
    <x v="0"/>
    <x v="0"/>
    <x v="1"/>
    <n v="127.8"/>
    <n v="50.58"/>
    <n v="178.38"/>
    <s v="Estimated 2018-02-19; handed to carrier 2018-01-23; no delivery recorded by end of 2018-03-18"/>
    <x v="1"/>
    <x v="0"/>
    <x v="0"/>
    <x v="0"/>
  </r>
  <r>
    <n v="4"/>
    <x v="0"/>
    <x v="0"/>
    <x v="1"/>
    <x v="1"/>
    <s v="2c18f34c7f29606619d5ad1f14849efc"/>
    <d v="2018-01-21T00:00:00"/>
    <d v="2018-02-19T00:00:00"/>
    <x v="0"/>
    <d v="2018-01-30T00:00:00"/>
    <x v="0"/>
    <d v="2018-01-23T00:00:00"/>
    <x v="0"/>
    <x v="1"/>
    <x v="0"/>
    <s v="cbd996ad3c1b7dc71fd0e5f5df9087e2"/>
    <x v="0"/>
    <x v="0"/>
    <x v="1"/>
    <n v="59.7"/>
    <n v="15.17"/>
    <n v="74.87"/>
    <s v="Estimated 2018-02-19; handed to carrier 2018-01-23; no delivery recorded by end of 2018-03-18"/>
    <x v="1"/>
    <x v="0"/>
    <x v="0"/>
    <x v="0"/>
  </r>
  <r>
    <n v="5"/>
    <x v="0"/>
    <x v="0"/>
    <x v="0"/>
    <x v="0"/>
    <s v="ea6c1bccedd9137975bff2495dfd90ae"/>
    <d v="2018-01-17T00:00:00"/>
    <d v="2018-02-19T00:00:00"/>
    <x v="0"/>
    <d v="2018-01-31T00:00:00"/>
    <x v="0"/>
    <m/>
    <x v="0"/>
    <x v="1"/>
    <x v="0"/>
    <s v="05f51e13da97139648b8125c31e5f51b"/>
    <x v="0"/>
    <x v="1"/>
    <x v="2"/>
    <n v="164.9"/>
    <n v="13.28"/>
    <n v="178.18"/>
    <s v="Estimated 2018-02-19; approved 2018-01-17; ship-by 2018-01-31; not handed to carrier by end of 2018-03-18"/>
    <x v="0"/>
    <x v="0"/>
    <x v="0"/>
    <x v="0"/>
  </r>
  <r>
    <n v="6"/>
    <x v="0"/>
    <x v="0"/>
    <x v="0"/>
    <x v="0"/>
    <s v="8d4159350057e7ebf61c0083d75c8712"/>
    <d v="2018-01-24T00:00:00"/>
    <d v="2018-02-19T00:00:00"/>
    <x v="0"/>
    <d v="2018-01-31T00:00:00"/>
    <x v="0"/>
    <m/>
    <x v="0"/>
    <x v="1"/>
    <x v="0"/>
    <s v="784ba75dd9d20200c4caed3d7a77141a"/>
    <x v="0"/>
    <x v="0"/>
    <x v="3"/>
    <n v="59.9"/>
    <n v="13.44"/>
    <n v="73.34"/>
    <s v="Estimated 2018-02-19; approved 2018-01-24; ship-by 2018-01-31; not handed to carrier by end of 2018-03-18"/>
    <x v="0"/>
    <x v="0"/>
    <x v="0"/>
    <x v="0"/>
  </r>
  <r>
    <n v="7"/>
    <x v="0"/>
    <x v="0"/>
    <x v="1"/>
    <x v="1"/>
    <s v="0d103d6504de00ed0c99969517a9ad52"/>
    <d v="2018-01-25T00:00:00"/>
    <d v="2018-02-19T00:00:00"/>
    <x v="0"/>
    <d v="2018-02-01T00:00:00"/>
    <x v="0"/>
    <d v="2018-01-26T00:00:00"/>
    <x v="0"/>
    <x v="1"/>
    <x v="0"/>
    <s v="5acd070dd3fe441bbb2ec1f1ede515ee"/>
    <x v="0"/>
    <x v="0"/>
    <x v="1"/>
    <n v="229"/>
    <n v="22.44"/>
    <n v="251.44"/>
    <s v="Estimated 2018-02-19; handed to carrier 2018-01-26; no delivery recorded by end of 2018-03-18"/>
    <x v="1"/>
    <x v="0"/>
    <x v="0"/>
    <x v="0"/>
  </r>
  <r>
    <n v="8"/>
    <x v="0"/>
    <x v="0"/>
    <x v="1"/>
    <x v="1"/>
    <s v="bdc6d13db4338777a27724c65a0248c6"/>
    <d v="2018-01-26T00:00:00"/>
    <d v="2018-02-19T00:00:00"/>
    <x v="0"/>
    <d v="2018-02-01T00:00:00"/>
    <x v="0"/>
    <d v="2018-01-26T00:00:00"/>
    <x v="0"/>
    <x v="1"/>
    <x v="0"/>
    <s v="c003204e1ab016dfa150abc119207b24"/>
    <x v="0"/>
    <x v="0"/>
    <x v="1"/>
    <n v="135.9"/>
    <n v="32.28"/>
    <n v="168.18"/>
    <s v="Estimated 2018-02-19; handed to carrier 2018-01-26; no delivery recorded by end of 2018-03-18"/>
    <x v="1"/>
    <x v="0"/>
    <x v="0"/>
    <x v="0"/>
  </r>
  <r>
    <n v="9"/>
    <x v="0"/>
    <x v="0"/>
    <x v="1"/>
    <x v="1"/>
    <s v="f3c5d914eec90079a826c2b5ea7fe6bc"/>
    <d v="2018-01-26T00:00:00"/>
    <d v="2018-02-19T00:00:00"/>
    <x v="0"/>
    <d v="2018-02-01T00:00:00"/>
    <x v="0"/>
    <d v="2018-01-26T00:00:00"/>
    <x v="0"/>
    <x v="1"/>
    <x v="0"/>
    <s v="4a3ca9315b744ce9f8e9374361493884"/>
    <x v="0"/>
    <x v="0"/>
    <x v="3"/>
    <n v="59.9"/>
    <n v="12.76"/>
    <n v="72.66"/>
    <s v="Estimated 2018-02-19; handed to carrier 2018-01-26; no delivery recorded by end of 2018-03-18"/>
    <x v="1"/>
    <x v="0"/>
    <x v="0"/>
    <x v="0"/>
  </r>
  <r>
    <n v="10"/>
    <x v="0"/>
    <x v="0"/>
    <x v="1"/>
    <x v="1"/>
    <s v="a90966534748634cbb133383bf0eee68"/>
    <d v="2018-02-01T00:00:00"/>
    <d v="2018-02-19T00:00:00"/>
    <x v="0"/>
    <d v="2018-02-07T00:00:00"/>
    <x v="0"/>
    <d v="2018-02-02T00:00:00"/>
    <x v="0"/>
    <x v="1"/>
    <x v="0"/>
    <s v="270297ead4c65a6cd2593960d2af6b21"/>
    <x v="0"/>
    <x v="0"/>
    <x v="3"/>
    <n v="78"/>
    <n v="8.74"/>
    <n v="86.74"/>
    <s v="Estimated 2018-02-19; handed to carrier 2018-02-02; no delivery recorded by end of 2018-03-18"/>
    <x v="1"/>
    <x v="0"/>
    <x v="0"/>
    <x v="0"/>
  </r>
  <r>
    <n v="11"/>
    <x v="0"/>
    <x v="0"/>
    <x v="1"/>
    <x v="1"/>
    <s v="e0b4e92a39bc8b93bc4ff121772819ea"/>
    <d v="2018-02-01T00:00:00"/>
    <d v="2018-02-19T00:00:00"/>
    <x v="0"/>
    <d v="2018-02-07T00:00:00"/>
    <x v="0"/>
    <d v="2018-02-05T00:00:00"/>
    <x v="0"/>
    <x v="1"/>
    <x v="0"/>
    <s v="2c3d56f92f360fb89d849b84e8f50eae"/>
    <x v="0"/>
    <x v="0"/>
    <x v="3"/>
    <n v="40.5"/>
    <n v="13.08"/>
    <n v="53.58"/>
    <s v="Estimated 2018-02-19; handed to carrier 2018-02-05; no delivery recorded by end of 2018-03-18"/>
    <x v="1"/>
    <x v="0"/>
    <x v="0"/>
    <x v="0"/>
  </r>
  <r>
    <n v="12"/>
    <x v="0"/>
    <x v="0"/>
    <x v="0"/>
    <x v="0"/>
    <s v="32b5ca23bd0b8761a4e3c0fb0b4b4418"/>
    <d v="2018-01-22T00:00:00"/>
    <d v="2018-02-19T00:00:00"/>
    <x v="0"/>
    <m/>
    <x v="0"/>
    <m/>
    <x v="0"/>
    <x v="3"/>
    <x v="1"/>
    <s v=""/>
    <x v="1"/>
    <x v="2"/>
    <x v="1"/>
    <n v="0"/>
    <n v="0"/>
    <n v="91.97"/>
    <s v=""/>
    <x v="0"/>
    <x v="0"/>
    <x v="0"/>
    <x v="0"/>
  </r>
  <r>
    <n v="13"/>
    <x v="0"/>
    <x v="0"/>
    <x v="0"/>
    <x v="0"/>
    <s v="3c3df3dd2afaabb39a53131f9ce98116"/>
    <d v="2018-01-25T00:00:00"/>
    <d v="2018-02-19T00:00:00"/>
    <x v="0"/>
    <m/>
    <x v="0"/>
    <m/>
    <x v="0"/>
    <x v="3"/>
    <x v="1"/>
    <s v=""/>
    <x v="1"/>
    <x v="2"/>
    <x v="3"/>
    <n v="0"/>
    <n v="0"/>
    <n v="463.9"/>
    <s v=""/>
    <x v="0"/>
    <x v="0"/>
    <x v="0"/>
    <x v="0"/>
  </r>
  <r>
    <n v="14"/>
    <x v="0"/>
    <x v="0"/>
    <x v="0"/>
    <x v="0"/>
    <s v="3f2467ae6b5a92494a59e95de0d79ba8"/>
    <d v="2018-01-21T00:00:00"/>
    <d v="2018-02-19T00:00:00"/>
    <x v="0"/>
    <m/>
    <x v="0"/>
    <m/>
    <x v="0"/>
    <x v="3"/>
    <x v="1"/>
    <s v=""/>
    <x v="1"/>
    <x v="2"/>
    <x v="4"/>
    <n v="0"/>
    <n v="0"/>
    <n v="28.46"/>
    <s v=""/>
    <x v="0"/>
    <x v="0"/>
    <x v="0"/>
    <x v="0"/>
  </r>
  <r>
    <n v="15"/>
    <x v="0"/>
    <x v="0"/>
    <x v="0"/>
    <x v="0"/>
    <s v="bf3c691a76e2c8733340a8f7e251a0f1"/>
    <d v="2018-01-12T00:00:00"/>
    <d v="2018-02-19T00:00:00"/>
    <x v="0"/>
    <m/>
    <x v="0"/>
    <m/>
    <x v="0"/>
    <x v="3"/>
    <x v="1"/>
    <s v=""/>
    <x v="1"/>
    <x v="2"/>
    <x v="2"/>
    <n v="0"/>
    <n v="0"/>
    <n v="112.42"/>
    <s v=""/>
    <x v="0"/>
    <x v="0"/>
    <x v="0"/>
    <x v="0"/>
  </r>
  <r>
    <n v="16"/>
    <x v="0"/>
    <x v="0"/>
    <x v="0"/>
    <x v="0"/>
    <s v="c56bbf34e57026ecc783dc5db2ad1e69"/>
    <d v="2018-01-10T00:00:00"/>
    <d v="2018-02-20T00:00:00"/>
    <x v="1"/>
    <d v="2018-01-19T00:00:00"/>
    <x v="0"/>
    <m/>
    <x v="0"/>
    <x v="1"/>
    <x v="0"/>
    <s v="e8b3a3a38279a82f0e5d006d5e5b7d2c"/>
    <x v="0"/>
    <x v="3"/>
    <x v="3"/>
    <n v="358.9"/>
    <n v="15.53"/>
    <n v="374.43"/>
    <s v="Estimated 2018-02-20; approved 2018-01-10; ship-by 2018-01-19; not handed to carrier by end of 2018-03-18"/>
    <x v="0"/>
    <x v="0"/>
    <x v="0"/>
    <x v="0"/>
  </r>
  <r>
    <n v="17"/>
    <x v="0"/>
    <x v="0"/>
    <x v="1"/>
    <x v="1"/>
    <s v="2f6492ebb2badd06db511b63ae7d7f55"/>
    <d v="2018-01-20T00:00:00"/>
    <d v="2018-02-20T00:00:00"/>
    <x v="1"/>
    <d v="2018-01-25T00:00:00"/>
    <x v="0"/>
    <d v="2018-01-22T00:00:00"/>
    <x v="0"/>
    <x v="1"/>
    <x v="0"/>
    <s v="a1043bafd471dff536d0c462352beb48"/>
    <x v="0"/>
    <x v="1"/>
    <x v="1"/>
    <n v="149"/>
    <n v="40.369999999999997"/>
    <n v="189.37"/>
    <s v="Estimated 2018-02-20; handed to carrier 2018-01-22; no delivery recorded by end of 2018-03-18"/>
    <x v="1"/>
    <x v="0"/>
    <x v="0"/>
    <x v="0"/>
  </r>
  <r>
    <n v="18"/>
    <x v="0"/>
    <x v="0"/>
    <x v="0"/>
    <x v="0"/>
    <s v="12f3c6723ad757676360f2b5bd8ce007"/>
    <d v="2018-01-19T00:00:00"/>
    <d v="2018-02-20T00:00:00"/>
    <x v="1"/>
    <d v="2018-01-25T00:00:00"/>
    <x v="0"/>
    <m/>
    <x v="0"/>
    <x v="1"/>
    <x v="0"/>
    <s v="f08c008c8a8d31417763738a1788a2a8"/>
    <x v="0"/>
    <x v="3"/>
    <x v="5"/>
    <n v="39.9"/>
    <n v="14.1"/>
    <n v="54"/>
    <s v="Estimated 2018-02-20; approved 2018-01-19; ship-by 2018-01-25; not handed to carrier by end of 2018-03-18"/>
    <x v="0"/>
    <x v="0"/>
    <x v="0"/>
    <x v="0"/>
  </r>
  <r>
    <n v="19"/>
    <x v="0"/>
    <x v="0"/>
    <x v="1"/>
    <x v="1"/>
    <s v="ad380680e87dea0f2abf5cd5bace626c"/>
    <d v="2018-01-21T00:00:00"/>
    <d v="2018-02-20T00:00:00"/>
    <x v="1"/>
    <d v="2018-01-26T00:00:00"/>
    <x v="0"/>
    <d v="2018-01-24T00:00:00"/>
    <x v="0"/>
    <x v="1"/>
    <x v="0"/>
    <s v="77530e9772f57a62c906e1c21538ab82"/>
    <x v="0"/>
    <x v="3"/>
    <x v="6"/>
    <n v="49"/>
    <n v="25.38"/>
    <n v="74.38"/>
    <s v="Estimated 2018-02-20; handed to carrier 2018-01-24; no delivery recorded by end of 2018-03-18"/>
    <x v="1"/>
    <x v="0"/>
    <x v="0"/>
    <x v="0"/>
  </r>
  <r>
    <n v="20"/>
    <x v="0"/>
    <x v="0"/>
    <x v="1"/>
    <x v="1"/>
    <s v="1def7af24cb7182497acfd953f6dd88b"/>
    <d v="2017-12-21T00:00:00"/>
    <d v="2018-02-20T00:00:00"/>
    <x v="1"/>
    <d v="2018-01-29T00:00:00"/>
    <x v="0"/>
    <d v="2018-01-30T00:00:00"/>
    <x v="0"/>
    <x v="1"/>
    <x v="0"/>
    <s v="a2e874074c877c5a05abae80ad6e488f"/>
    <x v="0"/>
    <x v="0"/>
    <x v="1"/>
    <n v="244.69"/>
    <n v="54.31"/>
    <n v="299"/>
    <s v="Estimated 2018-02-20; handed to carrier 2018-01-30; no delivery recorded by end of 2018-03-18"/>
    <x v="1"/>
    <x v="0"/>
    <x v="0"/>
    <x v="0"/>
  </r>
  <r>
    <n v="21"/>
    <x v="0"/>
    <x v="0"/>
    <x v="1"/>
    <x v="1"/>
    <s v="41c3bd8a34828a1a9ed3bae14a535afe"/>
    <d v="2018-01-23T00:00:00"/>
    <d v="2018-02-20T00:00:00"/>
    <x v="1"/>
    <d v="2018-01-30T00:00:00"/>
    <x v="0"/>
    <d v="2018-01-26T00:00:00"/>
    <x v="0"/>
    <x v="1"/>
    <x v="0"/>
    <s v="bd23da7354813347129d751591d1a6e2"/>
    <x v="0"/>
    <x v="0"/>
    <x v="6"/>
    <n v="279.89999999999998"/>
    <n v="26.41"/>
    <n v="306.31"/>
    <s v="Estimated 2018-02-20; handed to carrier 2018-01-26; no delivery recorded by end of 2018-03-18"/>
    <x v="1"/>
    <x v="0"/>
    <x v="0"/>
    <x v="0"/>
  </r>
  <r>
    <n v="22"/>
    <x v="0"/>
    <x v="0"/>
    <x v="1"/>
    <x v="1"/>
    <s v="297a6cbb707aabf7bf2fd71dca333168"/>
    <d v="2018-01-25T00:00:00"/>
    <d v="2018-02-20T00:00:00"/>
    <x v="1"/>
    <d v="2018-01-31T00:00:00"/>
    <x v="0"/>
    <d v="2018-01-25T00:00:00"/>
    <x v="0"/>
    <x v="1"/>
    <x v="0"/>
    <s v="4559697a8f7e637227c2eeaed843baff"/>
    <x v="0"/>
    <x v="0"/>
    <x v="1"/>
    <n v="69.900000000000006"/>
    <n v="17.739999999999998"/>
    <n v="87.64"/>
    <s v="Estimated 2018-02-20; handed to carrier 2018-01-25; no delivery recorded by end of 2018-03-18"/>
    <x v="1"/>
    <x v="0"/>
    <x v="0"/>
    <x v="0"/>
  </r>
  <r>
    <n v="23"/>
    <x v="0"/>
    <x v="0"/>
    <x v="1"/>
    <x v="1"/>
    <s v="d7cc5fcfee9af53fcd78bb47e4e55584"/>
    <d v="2018-01-27T00:00:00"/>
    <d v="2018-02-20T00:00:00"/>
    <x v="1"/>
    <d v="2018-02-01T00:00:00"/>
    <x v="0"/>
    <d v="2018-01-30T00:00:00"/>
    <x v="0"/>
    <x v="1"/>
    <x v="0"/>
    <s v="17e34d8224d27a541263c4c64b11a56b"/>
    <x v="0"/>
    <x v="0"/>
    <x v="3"/>
    <n v="171.57"/>
    <n v="13.54"/>
    <n v="185.11"/>
    <s v="Estimated 2018-02-20; handed to carrier 2018-01-30; no delivery recorded by end of 2018-03-18"/>
    <x v="1"/>
    <x v="0"/>
    <x v="0"/>
    <x v="0"/>
  </r>
  <r>
    <n v="24"/>
    <x v="0"/>
    <x v="0"/>
    <x v="1"/>
    <x v="1"/>
    <s v="5abf37ab57e23f69a9c8ab98c4800273"/>
    <d v="2018-01-28T00:00:00"/>
    <d v="2018-02-20T00:00:00"/>
    <x v="1"/>
    <d v="2018-02-01T00:00:00"/>
    <x v="0"/>
    <d v="2018-02-01T00:00:00"/>
    <x v="0"/>
    <x v="1"/>
    <x v="0"/>
    <s v="2a84855fd20af891be03bc5924d2b453"/>
    <x v="0"/>
    <x v="1"/>
    <x v="1"/>
    <n v="158.9"/>
    <n v="15.87"/>
    <n v="174.77"/>
    <s v="Estimated 2018-02-20; handed to carrier 2018-02-01; no delivery recorded by end of 2018-03-18"/>
    <x v="1"/>
    <x v="0"/>
    <x v="0"/>
    <x v="0"/>
  </r>
  <r>
    <n v="25"/>
    <x v="0"/>
    <x v="0"/>
    <x v="1"/>
    <x v="1"/>
    <s v="2db84a082bda455eb1da10727e7ca621"/>
    <d v="2018-02-02T00:00:00"/>
    <d v="2018-02-20T00:00:00"/>
    <x v="1"/>
    <d v="2018-02-08T00:00:00"/>
    <x v="0"/>
    <d v="2018-02-06T00:00:00"/>
    <x v="0"/>
    <x v="1"/>
    <x v="0"/>
    <s v="955fee9216a65b617aa5c0531780ce60"/>
    <x v="0"/>
    <x v="0"/>
    <x v="3"/>
    <n v="12"/>
    <n v="7.78"/>
    <n v="19.78"/>
    <s v="Estimated 2018-02-20; handed to carrier 2018-02-06; no delivery recorded by end of 2018-03-18"/>
    <x v="1"/>
    <x v="0"/>
    <x v="0"/>
    <x v="0"/>
  </r>
  <r>
    <n v="26"/>
    <x v="0"/>
    <x v="0"/>
    <x v="0"/>
    <x v="0"/>
    <s v="4ffaf2cdcc432ea3cd8ae0ab7a789cb0"/>
    <d v="2018-01-30T00:00:00"/>
    <d v="2018-02-20T00:00:00"/>
    <x v="1"/>
    <m/>
    <x v="0"/>
    <m/>
    <x v="0"/>
    <x v="3"/>
    <x v="1"/>
    <s v=""/>
    <x v="1"/>
    <x v="2"/>
    <x v="3"/>
    <n v="0"/>
    <n v="0"/>
    <n v="148.80000000000001"/>
    <s v=""/>
    <x v="0"/>
    <x v="0"/>
    <x v="0"/>
    <x v="0"/>
  </r>
  <r>
    <n v="27"/>
    <x v="0"/>
    <x v="0"/>
    <x v="0"/>
    <x v="0"/>
    <s v="a728ee4ebe3964a5a4ab8b0409eaabc1"/>
    <d v="2018-01-10T00:00:00"/>
    <d v="2018-02-21T00:00:00"/>
    <x v="2"/>
    <d v="2018-01-22T00:00:00"/>
    <x v="0"/>
    <m/>
    <x v="0"/>
    <x v="1"/>
    <x v="0"/>
    <s v="e8b3a3a38279a82f0e5d006d5e5b7d2c"/>
    <x v="0"/>
    <x v="3"/>
    <x v="3"/>
    <n v="358.9"/>
    <n v="18.27"/>
    <n v="377.17"/>
    <s v="Estimated 2018-02-21; approved 2018-01-11; ship-by 2018-01-22; not handed to carrier by end of 2018-03-18"/>
    <x v="0"/>
    <x v="0"/>
    <x v="0"/>
    <x v="0"/>
  </r>
  <r>
    <n v="28"/>
    <x v="0"/>
    <x v="0"/>
    <x v="1"/>
    <x v="1"/>
    <s v="ba0f1e99132c6f69e4622597e9853599"/>
    <d v="2018-01-24T00:00:00"/>
    <d v="2018-02-21T00:00:00"/>
    <x v="2"/>
    <d v="2018-01-31T00:00:00"/>
    <x v="0"/>
    <d v="2018-01-26T00:00:00"/>
    <x v="0"/>
    <x v="1"/>
    <x v="0"/>
    <s v="6973a06f484aacf400ece213dbf3d946"/>
    <x v="0"/>
    <x v="0"/>
    <x v="2"/>
    <n v="89.79"/>
    <n v="15.38"/>
    <n v="105.17"/>
    <s v="Estimated 2018-02-21; handed to carrier 2018-01-26; no delivery recorded by end of 2018-03-18"/>
    <x v="1"/>
    <x v="0"/>
    <x v="0"/>
    <x v="0"/>
  </r>
  <r>
    <n v="29"/>
    <x v="0"/>
    <x v="0"/>
    <x v="1"/>
    <x v="1"/>
    <s v="24f07a52ca6b749c618b46ddb2e94b8a"/>
    <d v="2018-01-30T00:00:00"/>
    <d v="2018-02-21T00:00:00"/>
    <x v="2"/>
    <d v="2018-02-05T00:00:00"/>
    <x v="0"/>
    <d v="2018-01-31T00:00:00"/>
    <x v="0"/>
    <x v="1"/>
    <x v="0"/>
    <s v="b2479f944e1b90cf8a5de1bbfde284d6"/>
    <x v="0"/>
    <x v="0"/>
    <x v="3"/>
    <n v="35.99"/>
    <n v="12.69"/>
    <n v="48.68"/>
    <s v="Estimated 2018-02-21; handed to carrier 2018-01-31; no delivery recorded by end of 2018-03-18"/>
    <x v="1"/>
    <x v="0"/>
    <x v="0"/>
    <x v="0"/>
  </r>
  <r>
    <n v="30"/>
    <x v="0"/>
    <x v="0"/>
    <x v="1"/>
    <x v="1"/>
    <s v="ab76f54a321a0431ef243b3b6865078b"/>
    <d v="2018-02-04T00:00:00"/>
    <d v="2018-02-21T00:00:00"/>
    <x v="2"/>
    <d v="2018-02-08T00:00:00"/>
    <x v="0"/>
    <d v="2018-02-06T00:00:00"/>
    <x v="0"/>
    <x v="1"/>
    <x v="0"/>
    <s v="de23c3b98a88888289c6f5cc1209054a"/>
    <x v="0"/>
    <x v="0"/>
    <x v="3"/>
    <n v="179"/>
    <n v="10.07"/>
    <n v="189.07"/>
    <s v="Estimated 2018-02-21; handed to carrier 2018-02-06; no delivery recorded by end of 2018-03-18"/>
    <x v="1"/>
    <x v="0"/>
    <x v="0"/>
    <x v="0"/>
  </r>
  <r>
    <n v="31"/>
    <x v="0"/>
    <x v="0"/>
    <x v="1"/>
    <x v="1"/>
    <s v="d3afe40f7060b3287d948a6bdea42687"/>
    <d v="2018-02-05T00:00:00"/>
    <d v="2018-02-21T00:00:00"/>
    <x v="2"/>
    <d v="2018-02-11T00:00:00"/>
    <x v="0"/>
    <d v="2018-02-06T00:00:00"/>
    <x v="0"/>
    <x v="1"/>
    <x v="0"/>
    <s v="4371b634e0efc0e22b09b52907d9d469"/>
    <x v="0"/>
    <x v="0"/>
    <x v="3"/>
    <n v="26"/>
    <n v="7.78"/>
    <n v="33.78"/>
    <s v="Estimated 2018-02-21; handed to carrier 2018-02-06; no delivery recorded by end of 2018-03-18"/>
    <x v="1"/>
    <x v="0"/>
    <x v="0"/>
    <x v="0"/>
  </r>
  <r>
    <n v="32"/>
    <x v="0"/>
    <x v="0"/>
    <x v="1"/>
    <x v="1"/>
    <s v="b7d469b7eb3c07c6d4b96d505c811fea"/>
    <d v="2018-02-03T00:00:00"/>
    <d v="2018-02-21T00:00:00"/>
    <x v="2"/>
    <d v="2018-02-12T00:00:00"/>
    <x v="0"/>
    <d v="2018-02-06T00:00:00"/>
    <x v="0"/>
    <x v="1"/>
    <x v="0"/>
    <s v="f262cbc1c910c83959f849465454ddd3"/>
    <x v="0"/>
    <x v="0"/>
    <x v="3"/>
    <n v="22.99"/>
    <n v="8.7200000000000006"/>
    <n v="31.71"/>
    <s v="Estimated 2018-02-21; handed to carrier 2018-02-06; no delivery recorded by end of 2018-03-18"/>
    <x v="1"/>
    <x v="0"/>
    <x v="0"/>
    <x v="0"/>
  </r>
  <r>
    <n v="33"/>
    <x v="0"/>
    <x v="0"/>
    <x v="0"/>
    <x v="0"/>
    <s v="0a6b7c79b8c67dedc51f2dea7b4e1e59"/>
    <d v="2018-01-13T00:00:00"/>
    <d v="2018-02-21T00:00:00"/>
    <x v="2"/>
    <m/>
    <x v="0"/>
    <m/>
    <x v="0"/>
    <x v="3"/>
    <x v="1"/>
    <s v=""/>
    <x v="1"/>
    <x v="2"/>
    <x v="7"/>
    <n v="0"/>
    <n v="0"/>
    <n v="230.5"/>
    <s v=""/>
    <x v="0"/>
    <x v="0"/>
    <x v="0"/>
    <x v="0"/>
  </r>
  <r>
    <n v="34"/>
    <x v="0"/>
    <x v="0"/>
    <x v="0"/>
    <x v="0"/>
    <s v="f8303e6eff198d1749d04649a1eb2bb6"/>
    <d v="2018-01-21T00:00:00"/>
    <d v="2018-02-21T00:00:00"/>
    <x v="2"/>
    <m/>
    <x v="0"/>
    <m/>
    <x v="0"/>
    <x v="3"/>
    <x v="1"/>
    <s v=""/>
    <x v="1"/>
    <x v="2"/>
    <x v="8"/>
    <n v="0"/>
    <n v="0"/>
    <n v="103.27"/>
    <s v=""/>
    <x v="0"/>
    <x v="0"/>
    <x v="0"/>
    <x v="0"/>
  </r>
  <r>
    <n v="35"/>
    <x v="0"/>
    <x v="0"/>
    <x v="1"/>
    <x v="1"/>
    <s v="7b9969738a7e690d13867eedd1fef01a"/>
    <d v="2018-01-05T00:00:00"/>
    <d v="2018-02-22T00:00:00"/>
    <x v="3"/>
    <d v="2018-01-11T00:00:00"/>
    <x v="0"/>
    <d v="2018-02-17T00:00:00"/>
    <x v="0"/>
    <x v="1"/>
    <x v="0"/>
    <s v="9c0e69c7bf2619675bbadf47b43f655a"/>
    <x v="0"/>
    <x v="0"/>
    <x v="8"/>
    <n v="270"/>
    <n v="17.649999999999999"/>
    <n v="287.64999999999998"/>
    <s v="Estimated 2018-02-22; handed to carrier 2018-02-17; no delivery recorded by end of 2018-03-18"/>
    <x v="1"/>
    <x v="0"/>
    <x v="0"/>
    <x v="0"/>
  </r>
  <r>
    <n v="36"/>
    <x v="0"/>
    <x v="0"/>
    <x v="1"/>
    <x v="1"/>
    <s v="d56ec35ab3257ad373bdbca2a1516715"/>
    <d v="2018-01-19T00:00:00"/>
    <d v="2018-02-22T00:00:00"/>
    <x v="3"/>
    <d v="2018-01-25T00:00:00"/>
    <x v="0"/>
    <d v="2018-02-03T00:00:00"/>
    <x v="0"/>
    <x v="1"/>
    <x v="0"/>
    <s v="bd23da7354813347129d751591d1a6e2"/>
    <x v="0"/>
    <x v="0"/>
    <x v="6"/>
    <n v="279.89999999999998"/>
    <n v="34.409999999999997"/>
    <n v="314.31"/>
    <s v="Estimated 2018-02-22; handed to carrier 2018-02-03; no delivery recorded by end of 2018-03-18"/>
    <x v="1"/>
    <x v="0"/>
    <x v="0"/>
    <x v="0"/>
  </r>
  <r>
    <n v="37"/>
    <x v="0"/>
    <x v="0"/>
    <x v="1"/>
    <x v="1"/>
    <s v="baf1b12b26680071c8851fc697020e62"/>
    <d v="2018-01-21T00:00:00"/>
    <d v="2018-02-22T00:00:00"/>
    <x v="3"/>
    <d v="2018-01-26T00:00:00"/>
    <x v="0"/>
    <d v="2018-01-25T00:00:00"/>
    <x v="0"/>
    <x v="1"/>
    <x v="0"/>
    <s v="c826c40d7b19f62a09e2d7c5e7295ee2"/>
    <x v="0"/>
    <x v="0"/>
    <x v="4"/>
    <n v="122.99"/>
    <n v="16.3"/>
    <n v="139.29"/>
    <s v="Estimated 2018-02-22; handed to carrier 2018-01-25; no delivery recorded by end of 2018-03-18"/>
    <x v="1"/>
    <x v="0"/>
    <x v="0"/>
    <x v="0"/>
  </r>
  <r>
    <n v="38"/>
    <x v="0"/>
    <x v="0"/>
    <x v="0"/>
    <x v="0"/>
    <s v="357699224271146ddda4a57375993805"/>
    <d v="2018-01-22T00:00:00"/>
    <d v="2018-02-22T00:00:00"/>
    <x v="3"/>
    <d v="2018-01-26T00:00:00"/>
    <x v="0"/>
    <m/>
    <x v="0"/>
    <x v="1"/>
    <x v="0"/>
    <s v="f08c008c8a8d31417763738a1788a2a8"/>
    <x v="0"/>
    <x v="3"/>
    <x v="2"/>
    <n v="39.9"/>
    <n v="16.79"/>
    <n v="56.69"/>
    <s v="Estimated 2018-02-22; approved 2018-01-22; ship-by 2018-01-26; not handed to carrier by end of 2018-03-18"/>
    <x v="0"/>
    <x v="0"/>
    <x v="0"/>
    <x v="0"/>
  </r>
  <r>
    <n v="39"/>
    <x v="0"/>
    <x v="0"/>
    <x v="1"/>
    <x v="1"/>
    <s v="bef875448d5a4f703555d2dd5f8382b5"/>
    <d v="2018-01-23T00:00:00"/>
    <d v="2018-02-22T00:00:00"/>
    <x v="3"/>
    <d v="2018-01-29T00:00:00"/>
    <x v="0"/>
    <d v="2018-01-24T00:00:00"/>
    <x v="0"/>
    <x v="1"/>
    <x v="0"/>
    <s v="77530e9772f57a62c906e1c21538ab82"/>
    <x v="0"/>
    <x v="3"/>
    <x v="1"/>
    <n v="139.9"/>
    <n v="19.22"/>
    <n v="159.12"/>
    <s v="Estimated 2018-02-22; handed to carrier 2018-01-24; no delivery recorded by end of 2018-03-18"/>
    <x v="1"/>
    <x v="0"/>
    <x v="0"/>
    <x v="0"/>
  </r>
  <r>
    <n v="40"/>
    <x v="0"/>
    <x v="0"/>
    <x v="1"/>
    <x v="1"/>
    <s v="aefe90553e50779cfa353170674e9d0f"/>
    <d v="2018-01-24T00:00:00"/>
    <d v="2018-02-22T00:00:00"/>
    <x v="3"/>
    <d v="2018-01-30T00:00:00"/>
    <x v="0"/>
    <d v="2018-01-29T00:00:00"/>
    <x v="0"/>
    <x v="1"/>
    <x v="0"/>
    <s v="f3da5b2ff499efb8d4a6d371d175d7dd"/>
    <x v="0"/>
    <x v="0"/>
    <x v="9"/>
    <n v="100.79"/>
    <n v="17.96"/>
    <n v="118.75"/>
    <s v="Estimated 2018-02-22; handed to carrier 2018-01-29; no delivery recorded by end of 2018-03-18"/>
    <x v="1"/>
    <x v="0"/>
    <x v="0"/>
    <x v="0"/>
  </r>
  <r>
    <n v="41"/>
    <x v="0"/>
    <x v="0"/>
    <x v="1"/>
    <x v="1"/>
    <s v="b5b7c54093bad4e0d745214e691224d7"/>
    <d v="2018-01-24T00:00:00"/>
    <d v="2018-02-22T00:00:00"/>
    <x v="3"/>
    <d v="2018-01-30T00:00:00"/>
    <x v="0"/>
    <d v="2018-01-25T00:00:00"/>
    <x v="0"/>
    <x v="1"/>
    <x v="0"/>
    <s v="a5a1bfcf728ab0e19182959cf0771ee4"/>
    <x v="0"/>
    <x v="0"/>
    <x v="1"/>
    <n v="59.9"/>
    <n v="15.17"/>
    <n v="75.069999999999993"/>
    <s v="Estimated 2018-02-22; handed to carrier 2018-01-25; no delivery recorded by end of 2018-03-18"/>
    <x v="1"/>
    <x v="0"/>
    <x v="0"/>
    <x v="0"/>
  </r>
  <r>
    <n v="42"/>
    <x v="0"/>
    <x v="0"/>
    <x v="1"/>
    <x v="1"/>
    <s v="a8096d0b94faa1314dbd562efc6a0967"/>
    <d v="2018-01-18T00:00:00"/>
    <d v="2018-02-22T00:00:00"/>
    <x v="3"/>
    <d v="2018-01-31T00:00:00"/>
    <x v="0"/>
    <d v="2018-01-18T00:00:00"/>
    <x v="0"/>
    <x v="1"/>
    <x v="0"/>
    <s v="850f4f8af5ea87287ac68de36e29107f"/>
    <x v="0"/>
    <x v="0"/>
    <x v="4"/>
    <n v="69.989999999999995"/>
    <n v="17.059999999999999"/>
    <n v="87.05"/>
    <s v="Estimated 2018-02-22; handed to carrier 2018-01-18; no delivery recorded by end of 2018-03-18"/>
    <x v="1"/>
    <x v="0"/>
    <x v="0"/>
    <x v="0"/>
  </r>
  <r>
    <n v="43"/>
    <x v="0"/>
    <x v="0"/>
    <x v="1"/>
    <x v="1"/>
    <s v="b121103b92afc327fb33d0e75b368a72"/>
    <d v="2018-01-27T00:00:00"/>
    <d v="2018-02-22T00:00:00"/>
    <x v="3"/>
    <d v="2018-02-01T00:00:00"/>
    <x v="0"/>
    <d v="2018-01-30T00:00:00"/>
    <x v="0"/>
    <x v="1"/>
    <x v="0"/>
    <s v="edb1ef5e36e0c8cd84eb3c9b003e486d"/>
    <x v="0"/>
    <x v="4"/>
    <x v="3"/>
    <n v="1149.6500000000001"/>
    <n v="22.8"/>
    <n v="1172.45"/>
    <s v="Estimated 2018-02-22; handed to carrier 2018-01-30; no delivery recorded by end of 2018-03-18"/>
    <x v="1"/>
    <x v="0"/>
    <x v="0"/>
    <x v="0"/>
  </r>
  <r>
    <n v="44"/>
    <x v="0"/>
    <x v="0"/>
    <x v="1"/>
    <x v="1"/>
    <s v="714fb133a6730ab81fa1d3c1b2007291"/>
    <d v="2018-01-26T00:00:00"/>
    <d v="2018-02-22T00:00:00"/>
    <x v="3"/>
    <d v="2018-02-01T00:00:00"/>
    <x v="0"/>
    <d v="2018-01-29T00:00:00"/>
    <x v="0"/>
    <x v="1"/>
    <x v="0"/>
    <s v="95f83f51203c626648c875dd41874c7f"/>
    <x v="0"/>
    <x v="1"/>
    <x v="3"/>
    <n v="69.900000000000006"/>
    <n v="26.11"/>
    <n v="96.01"/>
    <s v="Estimated 2018-02-22; handed to carrier 2018-01-29; no delivery recorded by end of 2018-03-18"/>
    <x v="1"/>
    <x v="0"/>
    <x v="0"/>
    <x v="0"/>
  </r>
  <r>
    <n v="45"/>
    <x v="0"/>
    <x v="0"/>
    <x v="1"/>
    <x v="1"/>
    <s v="07b9210fa8f57b996c79cb931e817393"/>
    <d v="2018-01-25T00:00:00"/>
    <d v="2018-02-22T00:00:00"/>
    <x v="3"/>
    <d v="2018-02-01T00:00:00"/>
    <x v="0"/>
    <d v="2018-01-26T00:00:00"/>
    <x v="0"/>
    <x v="1"/>
    <x v="0"/>
    <s v="fa40cc5b934574b62717c68f3d678b6d"/>
    <x v="0"/>
    <x v="0"/>
    <x v="6"/>
    <n v="30.5"/>
    <n v="17.63"/>
    <n v="48.13"/>
    <s v="Estimated 2018-02-22; handed to carrier 2018-01-26; no delivery recorded by end of 2018-03-18"/>
    <x v="1"/>
    <x v="0"/>
    <x v="0"/>
    <x v="0"/>
  </r>
  <r>
    <n v="46"/>
    <x v="0"/>
    <x v="0"/>
    <x v="1"/>
    <x v="1"/>
    <s v="6b5ccf5385890198c54fa97afe4812bc"/>
    <d v="2018-01-30T00:00:00"/>
    <d v="2018-02-22T00:00:00"/>
    <x v="3"/>
    <d v="2018-02-05T00:00:00"/>
    <x v="0"/>
    <d v="2018-01-31T00:00:00"/>
    <x v="0"/>
    <x v="1"/>
    <x v="0"/>
    <s v="5b8154610ebb21fb90eb587365e673df"/>
    <x v="0"/>
    <x v="0"/>
    <x v="7"/>
    <n v="349.49"/>
    <n v="28.77"/>
    <n v="378.26"/>
    <s v="Estimated 2018-02-22; handed to carrier 2018-01-31; no delivery recorded by end of 2018-03-18"/>
    <x v="1"/>
    <x v="0"/>
    <x v="0"/>
    <x v="0"/>
  </r>
  <r>
    <n v="47"/>
    <x v="0"/>
    <x v="0"/>
    <x v="1"/>
    <x v="1"/>
    <s v="cb599c234fc71be7c137179b6d473a30"/>
    <d v="2018-01-30T00:00:00"/>
    <d v="2018-02-22T00:00:00"/>
    <x v="3"/>
    <d v="2018-02-05T00:00:00"/>
    <x v="0"/>
    <d v="2018-02-01T00:00:00"/>
    <x v="0"/>
    <x v="1"/>
    <x v="0"/>
    <s v="2a84855fd20af891be03bc5924d2b453"/>
    <x v="0"/>
    <x v="1"/>
    <x v="3"/>
    <n v="35.9"/>
    <n v="15.1"/>
    <n v="51"/>
    <s v="Estimated 2018-02-22; handed to carrier 2018-02-01; no delivery recorded by end of 2018-03-18"/>
    <x v="1"/>
    <x v="0"/>
    <x v="0"/>
    <x v="0"/>
  </r>
  <r>
    <n v="48"/>
    <x v="0"/>
    <x v="0"/>
    <x v="1"/>
    <x v="1"/>
    <s v="4be69a31714c77604076ab0004055c6c"/>
    <d v="2018-01-31T00:00:00"/>
    <d v="2018-02-22T00:00:00"/>
    <x v="3"/>
    <d v="2018-02-06T00:00:00"/>
    <x v="0"/>
    <d v="2018-02-03T00:00:00"/>
    <x v="0"/>
    <x v="1"/>
    <x v="0"/>
    <s v="0df3984f9dfb3d49ac6366acbd3bbb85"/>
    <x v="0"/>
    <x v="1"/>
    <x v="1"/>
    <n v="130"/>
    <n v="15.67"/>
    <n v="145.66999999999999"/>
    <s v="Estimated 2018-02-22; handed to carrier 2018-02-03; no delivery recorded by end of 2018-03-18"/>
    <x v="1"/>
    <x v="0"/>
    <x v="0"/>
    <x v="0"/>
  </r>
  <r>
    <n v="49"/>
    <x v="0"/>
    <x v="0"/>
    <x v="0"/>
    <x v="0"/>
    <s v="190025dbe5811e87645792c21726e215"/>
    <d v="2018-02-04T00:00:00"/>
    <d v="2018-02-22T00:00:00"/>
    <x v="3"/>
    <d v="2018-02-09T00:00:00"/>
    <x v="0"/>
    <m/>
    <x v="0"/>
    <x v="2"/>
    <x v="0"/>
    <s v="e3e15e2c0b9700561efac21c6be48066"/>
    <x v="0"/>
    <x v="0"/>
    <x v="3"/>
    <n v="49.5"/>
    <n v="17.440000000000001"/>
    <n v="66.94"/>
    <s v="Estimated 2018-02-22; approved 2018-02-04; ship-by 2018-02-09; not handed to carrier by end of 2018-03-18"/>
    <x v="0"/>
    <x v="0"/>
    <x v="0"/>
    <x v="0"/>
  </r>
  <r>
    <n v="50"/>
    <x v="0"/>
    <x v="0"/>
    <x v="1"/>
    <x v="1"/>
    <s v="a87ef9e0075f9e9636d1b1f3162aff06"/>
    <d v="2018-02-06T00:00:00"/>
    <d v="2018-02-22T00:00:00"/>
    <x v="3"/>
    <d v="2018-02-13T00:00:00"/>
    <x v="0"/>
    <d v="2018-02-09T00:00:00"/>
    <x v="0"/>
    <x v="1"/>
    <x v="0"/>
    <s v="2a84855fd20af891be03bc5924d2b453"/>
    <x v="0"/>
    <x v="1"/>
    <x v="2"/>
    <n v="99.9"/>
    <n v="9.91"/>
    <n v="109.81"/>
    <s v="Estimated 2018-02-22; handed to carrier 2018-02-09; no delivery recorded by end of 2018-03-18"/>
    <x v="1"/>
    <x v="0"/>
    <x v="0"/>
    <x v="0"/>
  </r>
  <r>
    <n v="51"/>
    <x v="0"/>
    <x v="0"/>
    <x v="0"/>
    <x v="0"/>
    <s v="6597f8bf4610cf5291b83c0d57440e53"/>
    <d v="2018-02-06T00:00:00"/>
    <d v="2018-02-22T00:00:00"/>
    <x v="3"/>
    <d v="2018-02-13T00:00:00"/>
    <x v="0"/>
    <m/>
    <x v="0"/>
    <x v="1"/>
    <x v="0"/>
    <s v="955fee9216a65b617aa5c0531780ce60"/>
    <x v="0"/>
    <x v="0"/>
    <x v="3"/>
    <n v="19.5"/>
    <n v="8.7200000000000006"/>
    <n v="28.22"/>
    <s v="Estimated 2018-02-22; approved 2018-02-07; ship-by 2018-02-13; not handed to carrier by end of 2018-03-18"/>
    <x v="0"/>
    <x v="0"/>
    <x v="0"/>
    <x v="0"/>
  </r>
  <r>
    <n v="52"/>
    <x v="0"/>
    <x v="0"/>
    <x v="1"/>
    <x v="1"/>
    <s v="cd408efeda0fdd3fe5f27134bd065001"/>
    <d v="2018-02-08T00:00:00"/>
    <d v="2018-02-22T00:00:00"/>
    <x v="3"/>
    <d v="2018-02-14T00:00:00"/>
    <x v="0"/>
    <d v="2018-02-09T00:00:00"/>
    <x v="0"/>
    <x v="1"/>
    <x v="0"/>
    <s v="0be8ff43f22e456b4e0371b2245e4d01"/>
    <x v="0"/>
    <x v="0"/>
    <x v="3"/>
    <n v="129.9"/>
    <n v="9.1"/>
    <n v="139"/>
    <s v="Estimated 2018-02-22; handed to carrier 2018-02-09; no delivery recorded by end of 2018-03-18"/>
    <x v="1"/>
    <x v="0"/>
    <x v="0"/>
    <x v="0"/>
  </r>
  <r>
    <n v="53"/>
    <x v="0"/>
    <x v="0"/>
    <x v="1"/>
    <x v="1"/>
    <s v="0166cc8756d58b4a30fb49de83527120"/>
    <d v="2018-02-08T00:00:00"/>
    <d v="2018-02-22T00:00:00"/>
    <x v="3"/>
    <d v="2018-02-14T00:00:00"/>
    <x v="0"/>
    <d v="2018-02-09T00:00:00"/>
    <x v="0"/>
    <x v="1"/>
    <x v="0"/>
    <s v="562fc2f2c2863ab7e79a9e4388a58a14"/>
    <x v="0"/>
    <x v="0"/>
    <x v="3"/>
    <n v="29.99"/>
    <n v="7.78"/>
    <n v="37.770000000000003"/>
    <s v="Estimated 2018-02-22; handed to carrier 2018-02-09; no delivery recorded by end of 2018-03-18"/>
    <x v="1"/>
    <x v="0"/>
    <x v="0"/>
    <x v="0"/>
  </r>
  <r>
    <n v="54"/>
    <x v="0"/>
    <x v="0"/>
    <x v="1"/>
    <x v="1"/>
    <s v="9670e04f62098cb2eb977a5d5df33229"/>
    <d v="2018-01-11T00:00:00"/>
    <d v="2018-02-23T00:00:00"/>
    <x v="4"/>
    <d v="2018-01-22T00:00:00"/>
    <x v="0"/>
    <d v="2018-01-15T00:00:00"/>
    <x v="0"/>
    <x v="1"/>
    <x v="0"/>
    <s v="3d871de0142ce09b7081e2b9d1733cb1"/>
    <x v="0"/>
    <x v="0"/>
    <x v="6"/>
    <n v="139"/>
    <n v="29.37"/>
    <n v="168.37"/>
    <s v="Estimated 2018-02-23; handed to carrier 2018-01-15; no delivery recorded by end of 2018-03-18"/>
    <x v="1"/>
    <x v="0"/>
    <x v="0"/>
    <x v="0"/>
  </r>
  <r>
    <n v="55"/>
    <x v="0"/>
    <x v="0"/>
    <x v="1"/>
    <x v="1"/>
    <s v="a4efaffc506a395c9cea7402b078c1e5"/>
    <d v="2018-01-17T00:00:00"/>
    <d v="2018-02-23T00:00:00"/>
    <x v="4"/>
    <d v="2018-01-23T00:00:00"/>
    <x v="0"/>
    <d v="2018-01-24T00:00:00"/>
    <x v="0"/>
    <x v="1"/>
    <x v="0"/>
    <s v="3d871de0142ce09b7081e2b9d1733cb1"/>
    <x v="0"/>
    <x v="0"/>
    <x v="6"/>
    <n v="89"/>
    <n v="29.02"/>
    <n v="118.02"/>
    <s v="Estimated 2018-02-23; handed to carrier 2018-01-24; no delivery recorded by end of 2018-03-18"/>
    <x v="1"/>
    <x v="0"/>
    <x v="0"/>
    <x v="0"/>
  </r>
  <r>
    <n v="56"/>
    <x v="0"/>
    <x v="0"/>
    <x v="1"/>
    <x v="1"/>
    <s v="773f048245dc975a5f7c67c2415c88a0"/>
    <d v="2018-01-24T00:00:00"/>
    <d v="2018-02-23T00:00:00"/>
    <x v="4"/>
    <d v="2018-01-31T00:00:00"/>
    <x v="0"/>
    <d v="2018-01-26T00:00:00"/>
    <x v="0"/>
    <x v="1"/>
    <x v="0"/>
    <s v="eeb6de78f79159600292e314a77cbd18"/>
    <x v="0"/>
    <x v="5"/>
    <x v="4"/>
    <n v="2029"/>
    <n v="63.86"/>
    <n v="2092.86"/>
    <s v="Estimated 2018-02-23; handed to carrier 2018-01-26; no delivery recorded by end of 2018-03-18"/>
    <x v="1"/>
    <x v="0"/>
    <x v="0"/>
    <x v="0"/>
  </r>
  <r>
    <n v="57"/>
    <x v="0"/>
    <x v="0"/>
    <x v="1"/>
    <x v="1"/>
    <s v="6ad336dba0613cde0e5717f50dc8c669"/>
    <d v="2018-01-25T00:00:00"/>
    <d v="2018-02-23T00:00:00"/>
    <x v="4"/>
    <d v="2018-01-31T00:00:00"/>
    <x v="0"/>
    <d v="2018-01-26T00:00:00"/>
    <x v="0"/>
    <x v="1"/>
    <x v="0"/>
    <s v="f457c46070d02cadd8a68551231220dd"/>
    <x v="0"/>
    <x v="3"/>
    <x v="2"/>
    <n v="69.900000000000006"/>
    <n v="16.93"/>
    <n v="86.83"/>
    <s v="Estimated 2018-02-23; handed to carrier 2018-01-26; no delivery recorded by end of 2018-03-18"/>
    <x v="1"/>
    <x v="0"/>
    <x v="0"/>
    <x v="0"/>
  </r>
  <r>
    <n v="58"/>
    <x v="0"/>
    <x v="0"/>
    <x v="1"/>
    <x v="1"/>
    <s v="3a129877493c8189c59c60eb71d97c29"/>
    <d v="2018-01-25T00:00:00"/>
    <d v="2018-02-23T00:00:00"/>
    <x v="4"/>
    <d v="2018-01-31T00:00:00"/>
    <x v="0"/>
    <d v="2018-01-26T00:00:00"/>
    <x v="0"/>
    <x v="1"/>
    <x v="0"/>
    <s v="3fd1e727ba94cfe122d165e176ce7967"/>
    <x v="0"/>
    <x v="0"/>
    <x v="10"/>
    <n v="35.9"/>
    <n v="15.1"/>
    <n v="51"/>
    <s v="Estimated 2018-02-23; handed to carrier 2018-01-26; no delivery recorded by end of 2018-03-18"/>
    <x v="1"/>
    <x v="0"/>
    <x v="0"/>
    <x v="0"/>
  </r>
  <r>
    <n v="59"/>
    <x v="0"/>
    <x v="0"/>
    <x v="1"/>
    <x v="1"/>
    <s v="e23ca832ba25d2d20b0ebacdfe401989"/>
    <d v="2018-01-24T00:00:00"/>
    <d v="2018-02-23T00:00:00"/>
    <x v="4"/>
    <d v="2018-02-01T00:00:00"/>
    <x v="0"/>
    <d v="2018-01-25T00:00:00"/>
    <x v="0"/>
    <x v="1"/>
    <x v="0"/>
    <s v="cc419e0650a3c5ba77189a1882b7556a"/>
    <x v="0"/>
    <x v="0"/>
    <x v="6"/>
    <n v="84.99"/>
    <n v="19.13"/>
    <n v="104.12"/>
    <s v="Estimated 2018-02-23; handed to carrier 2018-01-25; no delivery recorded by end of 2018-03-18"/>
    <x v="1"/>
    <x v="0"/>
    <x v="0"/>
    <x v="0"/>
  </r>
  <r>
    <n v="60"/>
    <x v="0"/>
    <x v="0"/>
    <x v="1"/>
    <x v="1"/>
    <s v="46eb75885eca03736c4188871c0a9ba3"/>
    <d v="2018-01-29T00:00:00"/>
    <d v="2018-02-23T00:00:00"/>
    <x v="4"/>
    <d v="2018-02-04T00:00:00"/>
    <x v="0"/>
    <d v="2018-01-31T00:00:00"/>
    <x v="0"/>
    <x v="1"/>
    <x v="0"/>
    <s v="440dd6ab244315c632130ecfb63827b1"/>
    <x v="0"/>
    <x v="0"/>
    <x v="2"/>
    <n v="170"/>
    <n v="18.440000000000001"/>
    <n v="188.44"/>
    <s v="Estimated 2018-02-23; handed to carrier 2018-01-31; no delivery recorded by end of 2018-03-18"/>
    <x v="1"/>
    <x v="0"/>
    <x v="0"/>
    <x v="0"/>
  </r>
  <r>
    <n v="61"/>
    <x v="0"/>
    <x v="0"/>
    <x v="1"/>
    <x v="1"/>
    <s v="a251837e3fdaf53bc31e35e612cf58be"/>
    <d v="2018-01-30T00:00:00"/>
    <d v="2018-02-23T00:00:00"/>
    <x v="4"/>
    <d v="2018-02-05T00:00:00"/>
    <x v="0"/>
    <d v="2018-02-01T00:00:00"/>
    <x v="0"/>
    <x v="2"/>
    <x v="0"/>
    <s v="b0b346d3a89f5eb4c2968af3f083cd43"/>
    <x v="0"/>
    <x v="0"/>
    <x v="1"/>
    <n v="80"/>
    <n v="35.200000000000003"/>
    <n v="115.2"/>
    <s v="Estimated 2018-02-23; handed to carrier 2018-02-01; no delivery recorded by end of 2018-03-18"/>
    <x v="1"/>
    <x v="0"/>
    <x v="0"/>
    <x v="0"/>
  </r>
  <r>
    <n v="62"/>
    <x v="0"/>
    <x v="0"/>
    <x v="1"/>
    <x v="1"/>
    <s v="8f367420ab5fc7305b7383f29ef4ed4e"/>
    <d v="2018-01-30T00:00:00"/>
    <d v="2018-02-23T00:00:00"/>
    <x v="4"/>
    <d v="2018-02-06T00:00:00"/>
    <x v="0"/>
    <d v="2018-02-01T00:00:00"/>
    <x v="0"/>
    <x v="1"/>
    <x v="0"/>
    <s v="6560211a19b47992c3666cc44a7e94c0"/>
    <x v="0"/>
    <x v="0"/>
    <x v="11"/>
    <n v="69"/>
    <n v="21.28"/>
    <n v="90.28"/>
    <s v="Estimated 2018-02-23; handed to carrier 2018-02-01; no delivery recorded by end of 2018-03-18"/>
    <x v="1"/>
    <x v="0"/>
    <x v="0"/>
    <x v="0"/>
  </r>
  <r>
    <n v="63"/>
    <x v="0"/>
    <x v="0"/>
    <x v="1"/>
    <x v="1"/>
    <s v="8a9cce19aa49e055f2babb81d5a71c40"/>
    <d v="2018-02-01T00:00:00"/>
    <d v="2018-02-23T00:00:00"/>
    <x v="4"/>
    <d v="2018-02-08T00:00:00"/>
    <x v="0"/>
    <d v="2018-02-05T00:00:00"/>
    <x v="0"/>
    <x v="1"/>
    <x v="0"/>
    <s v="5011f0d93373a4c5753adf58ca77af8d"/>
    <x v="0"/>
    <x v="0"/>
    <x v="3"/>
    <n v="149.9"/>
    <n v="17.760000000000002"/>
    <n v="167.66"/>
    <s v="Estimated 2018-02-23; handed to carrier 2018-02-05; no delivery recorded by end of 2018-03-18"/>
    <x v="1"/>
    <x v="0"/>
    <x v="0"/>
    <x v="0"/>
  </r>
  <r>
    <n v="64"/>
    <x v="0"/>
    <x v="0"/>
    <x v="1"/>
    <x v="1"/>
    <s v="a584b2acfafd53fc605e76baa4a5cfaf"/>
    <d v="2018-02-01T00:00:00"/>
    <d v="2018-02-23T00:00:00"/>
    <x v="4"/>
    <d v="2018-02-08T00:00:00"/>
    <x v="0"/>
    <d v="2018-02-03T00:00:00"/>
    <x v="0"/>
    <x v="1"/>
    <x v="0"/>
    <s v="0be8ff43f22e456b4e0371b2245e4d01"/>
    <x v="0"/>
    <x v="0"/>
    <x v="1"/>
    <n v="119.9"/>
    <n v="14.59"/>
    <n v="134.49"/>
    <s v="Estimated 2018-02-23; handed to carrier 2018-02-03; no delivery recorded by end of 2018-03-18"/>
    <x v="1"/>
    <x v="0"/>
    <x v="0"/>
    <x v="0"/>
  </r>
  <r>
    <n v="65"/>
    <x v="0"/>
    <x v="0"/>
    <x v="0"/>
    <x v="0"/>
    <s v="9aeaadde646cd9e4c51638f24ecf63cb"/>
    <d v="2018-02-09T00:00:00"/>
    <d v="2018-02-23T00:00:00"/>
    <x v="4"/>
    <d v="2018-02-15T00:00:00"/>
    <x v="0"/>
    <m/>
    <x v="0"/>
    <x v="1"/>
    <x v="0"/>
    <s v="c161d1327ebc3a156c09582ab2f59f6c"/>
    <x v="0"/>
    <x v="0"/>
    <x v="3"/>
    <n v="17"/>
    <n v="7.78"/>
    <n v="24.78"/>
    <s v="Estimated 2018-02-23; approved 2018-02-09; ship-by 2018-02-15; not handed to carrier by end of 2018-03-18"/>
    <x v="0"/>
    <x v="0"/>
    <x v="0"/>
    <x v="0"/>
  </r>
  <r>
    <n v="66"/>
    <x v="0"/>
    <x v="0"/>
    <x v="0"/>
    <x v="0"/>
    <s v="b90cc9e10252911c2092a1e49794aa13"/>
    <d v="2018-02-07T00:00:00"/>
    <d v="2018-02-23T00:00:00"/>
    <x v="4"/>
    <m/>
    <x v="0"/>
    <m/>
    <x v="0"/>
    <x v="3"/>
    <x v="1"/>
    <s v=""/>
    <x v="1"/>
    <x v="2"/>
    <x v="3"/>
    <n v="0"/>
    <n v="0"/>
    <n v="87.82"/>
    <s v=""/>
    <x v="0"/>
    <x v="0"/>
    <x v="0"/>
    <x v="0"/>
  </r>
  <r>
    <n v="67"/>
    <x v="0"/>
    <x v="0"/>
    <x v="0"/>
    <x v="0"/>
    <s v="d8b293a9c747dbce4a60f6c0bca37dd7"/>
    <d v="2018-02-09T00:00:00"/>
    <d v="2018-02-23T00:00:00"/>
    <x v="4"/>
    <m/>
    <x v="0"/>
    <m/>
    <x v="0"/>
    <x v="3"/>
    <x v="1"/>
    <s v=""/>
    <x v="1"/>
    <x v="2"/>
    <x v="3"/>
    <n v="0"/>
    <n v="0"/>
    <n v="82.78"/>
    <s v=""/>
    <x v="0"/>
    <x v="0"/>
    <x v="0"/>
    <x v="0"/>
  </r>
  <r>
    <n v="68"/>
    <x v="0"/>
    <x v="0"/>
    <x v="1"/>
    <x v="1"/>
    <s v="0e5e60b0cddf73f60eb73fac19f590cf"/>
    <d v="2018-01-28T00:00:00"/>
    <d v="2018-02-26T00:00:00"/>
    <x v="5"/>
    <d v="2018-02-01T00:00:00"/>
    <x v="0"/>
    <d v="2018-01-29T00:00:00"/>
    <x v="0"/>
    <x v="1"/>
    <x v="0"/>
    <s v="a1043bafd471dff536d0c462352beb48"/>
    <x v="0"/>
    <x v="1"/>
    <x v="9"/>
    <n v="120"/>
    <n v="50.71"/>
    <n v="170.71"/>
    <s v="Estimated 2018-02-26; handed to carrier 2018-01-29; no delivery recorded by end of 2018-03-18"/>
    <x v="1"/>
    <x v="0"/>
    <x v="0"/>
    <x v="0"/>
  </r>
  <r>
    <n v="69"/>
    <x v="0"/>
    <x v="0"/>
    <x v="0"/>
    <x v="0"/>
    <s v="37ce40447807e0d3e58cc474ce549881"/>
    <d v="2018-01-27T00:00:00"/>
    <d v="2018-02-26T00:00:00"/>
    <x v="5"/>
    <d v="2018-02-01T00:00:00"/>
    <x v="0"/>
    <m/>
    <x v="0"/>
    <x v="1"/>
    <x v="0"/>
    <s v="2a84855fd20af891be03bc5924d2b453"/>
    <x v="0"/>
    <x v="1"/>
    <x v="4"/>
    <n v="99.9"/>
    <n v="17.14"/>
    <n v="117.04"/>
    <s v="Estimated 2018-02-26; approved 2018-01-27; ship-by 2018-02-01; not handed to carrier by end of 2018-03-18"/>
    <x v="0"/>
    <x v="0"/>
    <x v="0"/>
    <x v="0"/>
  </r>
  <r>
    <n v="70"/>
    <x v="0"/>
    <x v="0"/>
    <x v="1"/>
    <x v="1"/>
    <s v="4f1eeea688bd0014cf7f81a1f23bb8c4"/>
    <d v="2018-01-29T00:00:00"/>
    <d v="2018-02-26T00:00:00"/>
    <x v="5"/>
    <d v="2018-02-02T00:00:00"/>
    <x v="0"/>
    <d v="2018-01-30T00:00:00"/>
    <x v="0"/>
    <x v="1"/>
    <x v="0"/>
    <s v="4aba391bc3b88717ce08eb11e44937b2"/>
    <x v="0"/>
    <x v="6"/>
    <x v="1"/>
    <n v="339"/>
    <n v="27.65"/>
    <n v="366.65"/>
    <s v="Estimated 2018-02-26; handed to carrier 2018-01-30; no delivery recorded by end of 2018-03-18"/>
    <x v="1"/>
    <x v="0"/>
    <x v="0"/>
    <x v="0"/>
  </r>
  <r>
    <n v="71"/>
    <x v="0"/>
    <x v="0"/>
    <x v="1"/>
    <x v="1"/>
    <s v="b6acc7697ffc9caac96d5d86d80ea71d"/>
    <d v="2018-01-30T00:00:00"/>
    <d v="2018-02-26T00:00:00"/>
    <x v="5"/>
    <d v="2018-02-05T00:00:00"/>
    <x v="0"/>
    <d v="2018-02-14T00:00:00"/>
    <x v="0"/>
    <x v="1"/>
    <x v="0"/>
    <s v="dc4a0fc896dc34b0d5bfec8438291c80"/>
    <x v="0"/>
    <x v="0"/>
    <x v="1"/>
    <n v="98.62"/>
    <n v="21.18"/>
    <n v="119.8"/>
    <s v="Estimated 2018-02-26; handed to carrier 2018-02-14; no delivery recorded by end of 2018-03-18"/>
    <x v="1"/>
    <x v="0"/>
    <x v="0"/>
    <x v="0"/>
  </r>
  <r>
    <n v="72"/>
    <x v="0"/>
    <x v="0"/>
    <x v="1"/>
    <x v="1"/>
    <s v="e4f0fb907ebf79c450a8646d85c36d62"/>
    <d v="2018-02-01T00:00:00"/>
    <d v="2018-02-26T00:00:00"/>
    <x v="5"/>
    <d v="2018-02-08T00:00:00"/>
    <x v="0"/>
    <d v="2018-02-06T00:00:00"/>
    <x v="0"/>
    <x v="1"/>
    <x v="0"/>
    <s v="4b9750c8ad28220fe6702d4ecb7c898f"/>
    <x v="0"/>
    <x v="0"/>
    <x v="1"/>
    <n v="94.95"/>
    <n v="16.420000000000002"/>
    <n v="111.37"/>
    <s v="Estimated 2018-02-26; handed to carrier 2018-02-06; no delivery recorded by end of 2018-03-18"/>
    <x v="1"/>
    <x v="0"/>
    <x v="0"/>
    <x v="0"/>
  </r>
  <r>
    <n v="73"/>
    <x v="0"/>
    <x v="0"/>
    <x v="0"/>
    <x v="0"/>
    <s v="bcd228c06b9b1714cbe3bc43673c423b"/>
    <d v="2018-02-10T00:00:00"/>
    <d v="2018-02-26T00:00:00"/>
    <x v="5"/>
    <d v="2018-02-15T00:00:00"/>
    <x v="0"/>
    <m/>
    <x v="0"/>
    <x v="1"/>
    <x v="0"/>
    <s v="7e93a43ef30c4f03f38b393420bc753a"/>
    <x v="0"/>
    <x v="0"/>
    <x v="3"/>
    <n v="549.99"/>
    <n v="12.04"/>
    <n v="562.03"/>
    <s v="Estimated 2018-02-26; approved 2018-02-11; ship-by 2018-02-15; not handed to carrier by end of 2018-03-18"/>
    <x v="0"/>
    <x v="0"/>
    <x v="0"/>
    <x v="0"/>
  </r>
  <r>
    <n v="74"/>
    <x v="0"/>
    <x v="0"/>
    <x v="1"/>
    <x v="1"/>
    <s v="4472eca3b65b1dca5e0d59c0e4e0c6bc"/>
    <d v="2018-02-10T00:00:00"/>
    <d v="2018-02-26T00:00:00"/>
    <x v="5"/>
    <d v="2018-02-15T00:00:00"/>
    <x v="0"/>
    <d v="2018-02-15T00:00:00"/>
    <x v="0"/>
    <x v="1"/>
    <x v="0"/>
    <s v="6560211a19b47992c3666cc44a7e94c0"/>
    <x v="0"/>
    <x v="0"/>
    <x v="3"/>
    <n v="119"/>
    <n v="8.09"/>
    <n v="127.09"/>
    <s v="Estimated 2018-02-26; handed to carrier 2018-02-15; no delivery recorded by end of 2018-03-18"/>
    <x v="1"/>
    <x v="0"/>
    <x v="0"/>
    <x v="0"/>
  </r>
  <r>
    <n v="75"/>
    <x v="0"/>
    <x v="0"/>
    <x v="0"/>
    <x v="0"/>
    <s v="54b56f2389dee113344da742da7890c9"/>
    <d v="2018-02-12T00:00:00"/>
    <d v="2018-02-26T00:00:00"/>
    <x v="5"/>
    <m/>
    <x v="0"/>
    <m/>
    <x v="0"/>
    <x v="3"/>
    <x v="1"/>
    <s v=""/>
    <x v="1"/>
    <x v="2"/>
    <x v="3"/>
    <n v="0"/>
    <n v="0"/>
    <n v="37.68"/>
    <s v=""/>
    <x v="0"/>
    <x v="0"/>
    <x v="0"/>
    <x v="0"/>
  </r>
  <r>
    <n v="76"/>
    <x v="0"/>
    <x v="0"/>
    <x v="0"/>
    <x v="0"/>
    <s v="9c77f06d1dbb94007e708e9aba680a03"/>
    <d v="2018-02-10T00:00:00"/>
    <d v="2018-02-26T00:00:00"/>
    <x v="5"/>
    <m/>
    <x v="0"/>
    <m/>
    <x v="0"/>
    <x v="3"/>
    <x v="1"/>
    <s v=""/>
    <x v="1"/>
    <x v="2"/>
    <x v="3"/>
    <n v="0"/>
    <n v="0"/>
    <n v="91.66"/>
    <s v=""/>
    <x v="0"/>
    <x v="0"/>
    <x v="0"/>
    <x v="0"/>
  </r>
  <r>
    <n v="77"/>
    <x v="0"/>
    <x v="0"/>
    <x v="0"/>
    <x v="0"/>
    <s v="e9f308c243d53135de5a481bf3a9cb86"/>
    <d v="2018-02-10T00:00:00"/>
    <d v="2018-02-26T00:00:00"/>
    <x v="5"/>
    <m/>
    <x v="0"/>
    <m/>
    <x v="0"/>
    <x v="3"/>
    <x v="1"/>
    <s v=""/>
    <x v="1"/>
    <x v="2"/>
    <x v="3"/>
    <n v="0"/>
    <n v="0"/>
    <n v="56.78"/>
    <s v=""/>
    <x v="0"/>
    <x v="0"/>
    <x v="0"/>
    <x v="0"/>
  </r>
  <r>
    <n v="78"/>
    <x v="0"/>
    <x v="0"/>
    <x v="1"/>
    <x v="1"/>
    <s v="22a7f3846cb3968336eda252420a6920"/>
    <d v="2018-01-24T00:00:00"/>
    <d v="2018-03-01T00:00:00"/>
    <x v="6"/>
    <d v="2018-01-30T00:00:00"/>
    <x v="0"/>
    <d v="2018-01-25T00:00:00"/>
    <x v="0"/>
    <x v="2"/>
    <x v="0"/>
    <s v="7d456afc660226829370f3173d14520c"/>
    <x v="0"/>
    <x v="0"/>
    <x v="6"/>
    <n v="220"/>
    <n v="58.34"/>
    <n v="278.33999999999997"/>
    <s v="Estimated 2018-03-01; handed to carrier 2018-01-25; no delivery recorded by end of 2018-03-18"/>
    <x v="1"/>
    <x v="0"/>
    <x v="0"/>
    <x v="0"/>
  </r>
  <r>
    <n v="79"/>
    <x v="0"/>
    <x v="0"/>
    <x v="1"/>
    <x v="1"/>
    <s v="131c0d01eb2028569a7756743f8a6e52"/>
    <d v="2018-01-24T00:00:00"/>
    <d v="2018-03-01T00:00:00"/>
    <x v="6"/>
    <d v="2018-01-30T00:00:00"/>
    <x v="0"/>
    <d v="2018-01-26T00:00:00"/>
    <x v="0"/>
    <x v="1"/>
    <x v="0"/>
    <s v="dbc22125167c298ef99da25668e1011f"/>
    <x v="0"/>
    <x v="1"/>
    <x v="6"/>
    <n v="99.9"/>
    <n v="38.25"/>
    <n v="138.15"/>
    <s v="Estimated 2018-03-01; handed to carrier 2018-01-26; no delivery recorded by end of 2018-03-18"/>
    <x v="1"/>
    <x v="0"/>
    <x v="0"/>
    <x v="0"/>
  </r>
  <r>
    <n v="80"/>
    <x v="0"/>
    <x v="0"/>
    <x v="1"/>
    <x v="1"/>
    <s v="67384817c871ae183b24f9a0a6eb9bbc"/>
    <d v="2018-01-25T00:00:00"/>
    <d v="2018-03-01T00:00:00"/>
    <x v="6"/>
    <d v="2018-01-31T00:00:00"/>
    <x v="0"/>
    <d v="2018-01-26T00:00:00"/>
    <x v="0"/>
    <x v="1"/>
    <x v="0"/>
    <s v="c66dccfb3f109511246da627dd5a2498"/>
    <x v="0"/>
    <x v="0"/>
    <x v="12"/>
    <n v="526"/>
    <n v="28.96"/>
    <n v="554.96"/>
    <s v="Estimated 2018-03-01; handed to carrier 2018-01-26; no delivery recorded by end of 2018-03-18"/>
    <x v="1"/>
    <x v="0"/>
    <x v="0"/>
    <x v="0"/>
  </r>
  <r>
    <n v="81"/>
    <x v="0"/>
    <x v="0"/>
    <x v="1"/>
    <x v="1"/>
    <s v="3af427dfb9464cd660ac27292bb5d30b"/>
    <d v="2018-01-30T00:00:00"/>
    <d v="2018-03-01T00:00:00"/>
    <x v="6"/>
    <d v="2018-02-05T00:00:00"/>
    <x v="0"/>
    <d v="2018-02-01T00:00:00"/>
    <x v="0"/>
    <x v="1"/>
    <x v="0"/>
    <s v="ac51cac5e20d69ff485a54746488ef48"/>
    <x v="0"/>
    <x v="0"/>
    <x v="8"/>
    <n v="59.9"/>
    <n v="15.17"/>
    <n v="75.069999999999993"/>
    <s v="Estimated 2018-03-01; handed to carrier 2018-02-01; no delivery recorded by end of 2018-03-18"/>
    <x v="1"/>
    <x v="0"/>
    <x v="0"/>
    <x v="0"/>
  </r>
  <r>
    <n v="82"/>
    <x v="0"/>
    <x v="0"/>
    <x v="1"/>
    <x v="1"/>
    <s v="73cc28d48ecf54949b91163a0f7d3351"/>
    <d v="2018-01-28T00:00:00"/>
    <d v="2018-03-01T00:00:00"/>
    <x v="6"/>
    <d v="2018-02-05T00:00:00"/>
    <x v="0"/>
    <d v="2018-01-30T00:00:00"/>
    <x v="0"/>
    <x v="1"/>
    <x v="0"/>
    <s v="db4350fd57ae30082dec7acbaacc17f9"/>
    <x v="0"/>
    <x v="0"/>
    <x v="6"/>
    <n v="26.99"/>
    <n v="25.63"/>
    <n v="52.62"/>
    <s v="Estimated 2018-03-01; handed to carrier 2018-01-30; no delivery recorded by end of 2018-03-18"/>
    <x v="1"/>
    <x v="0"/>
    <x v="0"/>
    <x v="0"/>
  </r>
  <r>
    <n v="83"/>
    <x v="0"/>
    <x v="0"/>
    <x v="1"/>
    <x v="1"/>
    <s v="881a5cda3b897b035971e3fcfce58aa6"/>
    <d v="2018-01-31T00:00:00"/>
    <d v="2018-03-01T00:00:00"/>
    <x v="6"/>
    <d v="2018-02-06T00:00:00"/>
    <x v="0"/>
    <d v="2018-02-02T00:00:00"/>
    <x v="0"/>
    <x v="1"/>
    <x v="0"/>
    <s v="a1043bafd471dff536d0c462352beb48"/>
    <x v="0"/>
    <x v="1"/>
    <x v="1"/>
    <n v="149"/>
    <n v="40.369999999999997"/>
    <n v="189.37"/>
    <s v="Estimated 2018-03-01; handed to carrier 2018-02-02; no delivery recorded by end of 2018-03-18"/>
    <x v="1"/>
    <x v="0"/>
    <x v="0"/>
    <x v="0"/>
  </r>
  <r>
    <n v="84"/>
    <x v="0"/>
    <x v="0"/>
    <x v="1"/>
    <x v="1"/>
    <s v="cca6db6aa192f99ed392d637fc8c1b86"/>
    <d v="2018-01-31T00:00:00"/>
    <d v="2018-03-01T00:00:00"/>
    <x v="6"/>
    <d v="2018-02-06T00:00:00"/>
    <x v="0"/>
    <d v="2018-02-02T00:00:00"/>
    <x v="0"/>
    <x v="1"/>
    <x v="0"/>
    <s v="8b321bb669392f5163d04c59e235e066"/>
    <x v="0"/>
    <x v="0"/>
    <x v="6"/>
    <n v="75.900000000000006"/>
    <n v="17.809999999999999"/>
    <n v="93.71"/>
    <s v="Estimated 2018-03-01; handed to carrier 2018-02-02; no delivery recorded by end of 2018-03-18"/>
    <x v="1"/>
    <x v="0"/>
    <x v="0"/>
    <x v="0"/>
  </r>
  <r>
    <n v="85"/>
    <x v="0"/>
    <x v="0"/>
    <x v="1"/>
    <x v="1"/>
    <s v="4f58570952cc0b543a70a359a1b4a7f4"/>
    <d v="2018-02-01T00:00:00"/>
    <d v="2018-03-01T00:00:00"/>
    <x v="6"/>
    <d v="2018-02-07T00:00:00"/>
    <x v="0"/>
    <d v="2018-02-03T00:00:00"/>
    <x v="0"/>
    <x v="1"/>
    <x v="0"/>
    <s v="adbc26658d6c7b4b6219f9d934598091"/>
    <x v="0"/>
    <x v="3"/>
    <x v="1"/>
    <n v="130"/>
    <n v="19.149999999999999"/>
    <n v="149.15"/>
    <s v="Estimated 2018-03-01; handed to carrier 2018-02-03; no delivery recorded by end of 2018-03-18"/>
    <x v="1"/>
    <x v="0"/>
    <x v="0"/>
    <x v="0"/>
  </r>
  <r>
    <n v="86"/>
    <x v="0"/>
    <x v="0"/>
    <x v="1"/>
    <x v="1"/>
    <s v="a6a6c002fd9f0e9eb0c0148448cf8863"/>
    <d v="2018-02-03T00:00:00"/>
    <d v="2018-03-01T00:00:00"/>
    <x v="6"/>
    <d v="2018-02-08T00:00:00"/>
    <x v="0"/>
    <d v="2018-02-05T00:00:00"/>
    <x v="0"/>
    <x v="1"/>
    <x v="0"/>
    <s v="056b4ada5bbc2c50cc7842547dda6b51"/>
    <x v="0"/>
    <x v="4"/>
    <x v="3"/>
    <n v="659.99"/>
    <n v="18.37"/>
    <n v="678.36"/>
    <s v="Estimated 2018-03-01; handed to carrier 2018-02-05; no delivery recorded by end of 2018-03-18"/>
    <x v="1"/>
    <x v="0"/>
    <x v="0"/>
    <x v="0"/>
  </r>
  <r>
    <n v="87"/>
    <x v="0"/>
    <x v="0"/>
    <x v="1"/>
    <x v="1"/>
    <s v="716bcd6dfe99970baf4aed2083136ed8"/>
    <d v="2018-02-03T00:00:00"/>
    <d v="2018-03-01T00:00:00"/>
    <x v="6"/>
    <d v="2018-02-08T00:00:00"/>
    <x v="0"/>
    <d v="2018-02-05T00:00:00"/>
    <x v="0"/>
    <x v="1"/>
    <x v="0"/>
    <s v="5b581417df4480f632484ba681e53944"/>
    <x v="0"/>
    <x v="5"/>
    <x v="8"/>
    <n v="149"/>
    <n v="13.29"/>
    <n v="162.29"/>
    <s v="Estimated 2018-03-01; handed to carrier 2018-02-05; no delivery recorded by end of 2018-03-18"/>
    <x v="1"/>
    <x v="0"/>
    <x v="0"/>
    <x v="0"/>
  </r>
  <r>
    <n v="88"/>
    <x v="0"/>
    <x v="0"/>
    <x v="1"/>
    <x v="1"/>
    <s v="99cf68b71ac96d8b4c0f20dec410d8fd"/>
    <d v="2018-02-01T00:00:00"/>
    <d v="2018-03-01T00:00:00"/>
    <x v="6"/>
    <d v="2018-02-08T00:00:00"/>
    <x v="0"/>
    <d v="2018-02-05T00:00:00"/>
    <x v="0"/>
    <x v="1"/>
    <x v="0"/>
    <s v="7d76b645482be4a332374e8223836592"/>
    <x v="0"/>
    <x v="0"/>
    <x v="8"/>
    <n v="19.899999999999999"/>
    <n v="14.1"/>
    <n v="34"/>
    <s v="Estimated 2018-03-01; handed to carrier 2018-02-05; no delivery recorded by end of 2018-03-18"/>
    <x v="1"/>
    <x v="0"/>
    <x v="0"/>
    <x v="0"/>
  </r>
  <r>
    <n v="89"/>
    <x v="0"/>
    <x v="0"/>
    <x v="1"/>
    <x v="1"/>
    <s v="4e74c91d859c944fa7c652b9f05f7fce"/>
    <d v="2018-02-05T00:00:00"/>
    <d v="2018-03-01T00:00:00"/>
    <x v="6"/>
    <d v="2018-02-09T00:00:00"/>
    <x v="0"/>
    <d v="2018-02-06T00:00:00"/>
    <x v="0"/>
    <x v="1"/>
    <x v="0"/>
    <s v="70eea00b476a314817cefde4aad4f89a"/>
    <x v="0"/>
    <x v="0"/>
    <x v="1"/>
    <n v="199.9"/>
    <n v="20.89"/>
    <n v="220.79"/>
    <s v="Estimated 2018-03-01; handed to carrier 2018-02-06; no delivery recorded by end of 2018-03-18"/>
    <x v="1"/>
    <x v="0"/>
    <x v="0"/>
    <x v="0"/>
  </r>
  <r>
    <n v="90"/>
    <x v="0"/>
    <x v="0"/>
    <x v="1"/>
    <x v="1"/>
    <s v="c9f06c1229ec7cd4ec9aed55d434b499"/>
    <d v="2018-02-05T00:00:00"/>
    <d v="2018-03-01T00:00:00"/>
    <x v="6"/>
    <d v="2018-02-09T00:00:00"/>
    <x v="0"/>
    <d v="2018-02-06T00:00:00"/>
    <x v="0"/>
    <x v="1"/>
    <x v="0"/>
    <s v="7e1fb0a3ebfb01ffb3a7dae98bf3238d"/>
    <x v="0"/>
    <x v="0"/>
    <x v="3"/>
    <n v="150"/>
    <n v="12.55"/>
    <n v="162.55000000000001"/>
    <s v="Estimated 2018-03-01; handed to carrier 2018-02-06; no delivery recorded by end of 2018-03-18"/>
    <x v="1"/>
    <x v="0"/>
    <x v="0"/>
    <x v="0"/>
  </r>
  <r>
    <n v="91"/>
    <x v="0"/>
    <x v="0"/>
    <x v="1"/>
    <x v="1"/>
    <s v="dea56b3893564838aa0a8b56394f46a4"/>
    <d v="2018-02-05T00:00:00"/>
    <d v="2018-03-01T00:00:00"/>
    <x v="6"/>
    <d v="2018-02-09T00:00:00"/>
    <x v="0"/>
    <d v="2018-02-06T00:00:00"/>
    <x v="0"/>
    <x v="1"/>
    <x v="0"/>
    <s v="c6bda72e4dbf5c5866b13cb1810c6d03"/>
    <x v="0"/>
    <x v="0"/>
    <x v="1"/>
    <n v="109.9"/>
    <n v="17.02"/>
    <n v="126.92"/>
    <s v="Estimated 2018-03-01; handed to carrier 2018-02-06; no delivery recorded by end of 2018-03-18"/>
    <x v="1"/>
    <x v="0"/>
    <x v="0"/>
    <x v="0"/>
  </r>
  <r>
    <n v="92"/>
    <x v="0"/>
    <x v="0"/>
    <x v="1"/>
    <x v="1"/>
    <s v="0822275bffed889280029c0c32b003e6"/>
    <d v="2018-02-05T00:00:00"/>
    <d v="2018-03-01T00:00:00"/>
    <x v="6"/>
    <d v="2018-02-09T00:00:00"/>
    <x v="0"/>
    <d v="2018-02-06T00:00:00"/>
    <x v="0"/>
    <x v="1"/>
    <x v="0"/>
    <s v="8b321bb669392f5163d04c59e235e066"/>
    <x v="0"/>
    <x v="0"/>
    <x v="1"/>
    <n v="21.9"/>
    <n v="14.1"/>
    <n v="36"/>
    <s v="Estimated 2018-03-01; handed to carrier 2018-02-06; no delivery recorded by end of 2018-03-18"/>
    <x v="1"/>
    <x v="0"/>
    <x v="0"/>
    <x v="0"/>
  </r>
  <r>
    <n v="93"/>
    <x v="0"/>
    <x v="0"/>
    <x v="0"/>
    <x v="0"/>
    <s v="607c1c3f926d9435d428d7aa7d52a1ed"/>
    <d v="2018-02-13T00:00:00"/>
    <d v="2018-03-01T00:00:00"/>
    <x v="6"/>
    <m/>
    <x v="0"/>
    <m/>
    <x v="0"/>
    <x v="3"/>
    <x v="1"/>
    <s v=""/>
    <x v="1"/>
    <x v="2"/>
    <x v="3"/>
    <n v="0"/>
    <n v="0"/>
    <n v="847.3"/>
    <s v=""/>
    <x v="0"/>
    <x v="0"/>
    <x v="0"/>
    <x v="0"/>
  </r>
  <r>
    <n v="94"/>
    <x v="0"/>
    <x v="0"/>
    <x v="1"/>
    <x v="1"/>
    <s v="ef68f7ac518a9309ceb3a3290ee123a1"/>
    <d v="2018-01-25T00:00:00"/>
    <d v="2018-03-02T00:00:00"/>
    <x v="7"/>
    <d v="2018-01-31T00:00:00"/>
    <x v="0"/>
    <d v="2018-02-01T00:00:00"/>
    <x v="0"/>
    <x v="2"/>
    <x v="0"/>
    <s v="213b25e6f54661939f11710a6fddb871"/>
    <x v="0"/>
    <x v="0"/>
    <x v="6"/>
    <n v="79.8"/>
    <n v="51.26"/>
    <n v="131.06"/>
    <s v="Estimated 2018-03-02; handed to carrier 2018-02-01; no delivery recorded by end of 2018-03-18"/>
    <x v="1"/>
    <x v="0"/>
    <x v="0"/>
    <x v="0"/>
  </r>
  <r>
    <n v="95"/>
    <x v="0"/>
    <x v="0"/>
    <x v="1"/>
    <x v="1"/>
    <s v="7a56ded9b696cca5e892f56f49b1921a"/>
    <d v="2018-01-28T00:00:00"/>
    <d v="2018-03-02T00:00:00"/>
    <x v="7"/>
    <d v="2018-02-01T00:00:00"/>
    <x v="0"/>
    <d v="2018-01-29T00:00:00"/>
    <x v="0"/>
    <x v="1"/>
    <x v="0"/>
    <s v="7e1fb0a3ebfb01ffb3a7dae98bf3238d"/>
    <x v="0"/>
    <x v="0"/>
    <x v="4"/>
    <n v="150"/>
    <n v="17.489999999999998"/>
    <n v="167.49"/>
    <s v="Estimated 2018-03-02; handed to carrier 2018-01-29; no delivery recorded by end of 2018-03-18"/>
    <x v="1"/>
    <x v="0"/>
    <x v="0"/>
    <x v="0"/>
  </r>
  <r>
    <n v="96"/>
    <x v="0"/>
    <x v="0"/>
    <x v="0"/>
    <x v="0"/>
    <s v="8e572fc4edc8dafc89bb18bf812916e6"/>
    <d v="2018-01-26T00:00:00"/>
    <d v="2018-03-02T00:00:00"/>
    <x v="7"/>
    <d v="2018-02-01T00:00:00"/>
    <x v="0"/>
    <m/>
    <x v="0"/>
    <x v="1"/>
    <x v="0"/>
    <s v="04fdea0c111866e6cf812f1570d6b5bd"/>
    <x v="0"/>
    <x v="0"/>
    <x v="4"/>
    <n v="95"/>
    <n v="19.91"/>
    <n v="114.91"/>
    <s v="Estimated 2018-03-02; approved 2018-01-27; ship-by 2018-02-01; not handed to carrier by end of 2018-03-18"/>
    <x v="0"/>
    <x v="0"/>
    <x v="0"/>
    <x v="0"/>
  </r>
  <r>
    <n v="97"/>
    <x v="0"/>
    <x v="0"/>
    <x v="1"/>
    <x v="1"/>
    <s v="9f35328dc92b28c67517b812818dc6a8"/>
    <d v="2018-01-28T00:00:00"/>
    <d v="2018-03-02T00:00:00"/>
    <x v="7"/>
    <d v="2018-02-02T00:00:00"/>
    <x v="0"/>
    <d v="2018-01-30T00:00:00"/>
    <x v="0"/>
    <x v="1"/>
    <x v="0"/>
    <s v="9596c870880d900012f2e8e6e30d06d7"/>
    <x v="0"/>
    <x v="1"/>
    <x v="13"/>
    <n v="980.9"/>
    <n v="262.72000000000003"/>
    <n v="1243.6199999999999"/>
    <s v="Estimated 2018-03-02; handed to carrier 2018-01-30; no delivery recorded by end of 2018-03-18"/>
    <x v="1"/>
    <x v="0"/>
    <x v="0"/>
    <x v="0"/>
  </r>
  <r>
    <n v="98"/>
    <x v="0"/>
    <x v="0"/>
    <x v="1"/>
    <x v="1"/>
    <s v="6b460c25c2bb8e1323536e9e921d04a1"/>
    <d v="2018-01-29T00:00:00"/>
    <d v="2018-03-02T00:00:00"/>
    <x v="7"/>
    <d v="2018-02-07T00:00:00"/>
    <x v="0"/>
    <d v="2018-01-30T00:00:00"/>
    <x v="0"/>
    <x v="1"/>
    <x v="0"/>
    <s v="cc419e0650a3c5ba77189a1882b7556a"/>
    <x v="0"/>
    <x v="0"/>
    <x v="1"/>
    <n v="56.99"/>
    <n v="15.15"/>
    <n v="72.14"/>
    <s v="Estimated 2018-03-02; handed to carrier 2018-01-30; no delivery recorded by end of 2018-03-18"/>
    <x v="1"/>
    <x v="0"/>
    <x v="0"/>
    <x v="0"/>
  </r>
  <r>
    <n v="99"/>
    <x v="0"/>
    <x v="0"/>
    <x v="1"/>
    <x v="1"/>
    <s v="c7a5d101d4b6ed70eacc97c78158eadd"/>
    <d v="2018-02-01T00:00:00"/>
    <d v="2018-03-02T00:00:00"/>
    <x v="7"/>
    <d v="2018-02-08T00:00:00"/>
    <x v="0"/>
    <d v="2018-02-06T00:00:00"/>
    <x v="0"/>
    <x v="1"/>
    <x v="0"/>
    <s v="634964b17796e64304cadf1ad3050fb7"/>
    <x v="0"/>
    <x v="4"/>
    <x v="10"/>
    <n v="108"/>
    <n v="16.52"/>
    <n v="124.52"/>
    <s v="Estimated 2018-03-02; handed to carrier 2018-02-06; no delivery recorded by end of 2018-03-18"/>
    <x v="1"/>
    <x v="0"/>
    <x v="0"/>
    <x v="0"/>
  </r>
  <r>
    <n v="100"/>
    <x v="0"/>
    <x v="0"/>
    <x v="1"/>
    <x v="1"/>
    <s v="cc6c9b89f70b32d7fe075718e0fc58e7"/>
    <d v="2018-01-27T00:00:00"/>
    <d v="2018-03-02T00:00:00"/>
    <x v="7"/>
    <d v="2018-02-09T00:00:00"/>
    <x v="0"/>
    <d v="2018-01-30T00:00:00"/>
    <x v="0"/>
    <x v="1"/>
    <x v="0"/>
    <s v="ceaec5548eefc6e23e6607c5435102e7"/>
    <x v="0"/>
    <x v="0"/>
    <x v="1"/>
    <n v="215"/>
    <n v="21"/>
    <n v="236"/>
    <s v="Estimated 2018-03-02; handed to carrier 2018-01-30; no delivery recorded by end of 2018-03-18"/>
    <x v="1"/>
    <x v="0"/>
    <x v="0"/>
    <x v="0"/>
  </r>
  <r>
    <n v="101"/>
    <x v="0"/>
    <x v="0"/>
    <x v="1"/>
    <x v="1"/>
    <s v="10c3c7fea20a1ed15c6e55e90b3fb084"/>
    <d v="2018-02-08T00:00:00"/>
    <d v="2018-03-02T00:00:00"/>
    <x v="7"/>
    <d v="2018-02-14T00:00:00"/>
    <x v="0"/>
    <d v="2018-02-09T00:00:00"/>
    <x v="0"/>
    <x v="1"/>
    <x v="0"/>
    <s v="3c7c4a49ec3c6550809089c6a2ca9370"/>
    <x v="0"/>
    <x v="0"/>
    <x v="3"/>
    <n v="13.99"/>
    <n v="11.85"/>
    <n v="25.84"/>
    <s v="Estimated 2018-03-02; handed to carrier 2018-02-09; no delivery recorded by end of 2018-03-18"/>
    <x v="1"/>
    <x v="0"/>
    <x v="0"/>
    <x v="0"/>
  </r>
  <r>
    <n v="102"/>
    <x v="0"/>
    <x v="0"/>
    <x v="1"/>
    <x v="1"/>
    <s v="59e94c656aec3cee1b4a97e8324b47d2"/>
    <d v="2018-02-08T00:00:00"/>
    <d v="2018-03-02T00:00:00"/>
    <x v="7"/>
    <d v="2018-02-15T00:00:00"/>
    <x v="0"/>
    <d v="2018-02-15T00:00:00"/>
    <x v="0"/>
    <x v="1"/>
    <x v="0"/>
    <s v="282f23a9769b2690c5dda22e316f9941"/>
    <x v="0"/>
    <x v="1"/>
    <x v="1"/>
    <n v="54"/>
    <n v="16.63"/>
    <n v="70.63"/>
    <s v="Estimated 2018-03-02; handed to carrier 2018-02-15; no delivery recorded by end of 2018-03-18"/>
    <x v="1"/>
    <x v="0"/>
    <x v="0"/>
    <x v="0"/>
  </r>
  <r>
    <n v="103"/>
    <x v="0"/>
    <x v="0"/>
    <x v="0"/>
    <x v="0"/>
    <s v="a31ecde4565b9e5e70a4ac17fb47174c"/>
    <d v="2018-01-29T00:00:00"/>
    <d v="2018-03-02T00:00:00"/>
    <x v="7"/>
    <d v="2018-02-20T00:00:00"/>
    <x v="0"/>
    <m/>
    <x v="0"/>
    <x v="1"/>
    <x v="0"/>
    <s v="4c8b8048e33af2bf94f2eb547746a916"/>
    <x v="0"/>
    <x v="0"/>
    <x v="3"/>
    <n v="26.8"/>
    <n v="12.69"/>
    <n v="39.49"/>
    <s v="Estimated 2018-03-02; approved 2018-01-31; ship-by 2018-02-20; not handed to carrier by end of 2018-03-18"/>
    <x v="0"/>
    <x v="0"/>
    <x v="0"/>
    <x v="0"/>
  </r>
  <r>
    <n v="104"/>
    <x v="0"/>
    <x v="0"/>
    <x v="0"/>
    <x v="0"/>
    <s v="21988f4f4d0971038b9c9d35f3be1ccf"/>
    <d v="2018-02-15T00:00:00"/>
    <d v="2018-03-02T00:00:00"/>
    <x v="7"/>
    <d v="2018-02-21T00:00:00"/>
    <x v="0"/>
    <m/>
    <x v="0"/>
    <x v="1"/>
    <x v="0"/>
    <s v="c26ba52cf8d2f34915f2f6b7ffa0a3f3"/>
    <x v="0"/>
    <x v="4"/>
    <x v="1"/>
    <n v="18.489999999999998"/>
    <n v="7.94"/>
    <n v="26.43"/>
    <s v="Estimated 2018-03-02; approved 2018-02-15; ship-by 2018-02-21; not handed to carrier by end of 2018-03-18"/>
    <x v="0"/>
    <x v="0"/>
    <x v="0"/>
    <x v="0"/>
  </r>
  <r>
    <n v="105"/>
    <x v="0"/>
    <x v="0"/>
    <x v="1"/>
    <x v="1"/>
    <s v="739e19153280cbc1a87c1a84be1ec4f6"/>
    <d v="2018-02-15T00:00:00"/>
    <d v="2018-03-02T00:00:00"/>
    <x v="7"/>
    <d v="2018-02-22T00:00:00"/>
    <x v="0"/>
    <d v="2018-02-16T00:00:00"/>
    <x v="0"/>
    <x v="1"/>
    <x v="0"/>
    <s v="cbd996ad3c1b7dc71fd0e5f5df9087e2"/>
    <x v="0"/>
    <x v="0"/>
    <x v="3"/>
    <n v="47.99"/>
    <n v="11.85"/>
    <n v="59.84"/>
    <s v="Estimated 2018-03-02; handed to carrier 2018-02-16; no delivery recorded by end of 2018-03-18"/>
    <x v="1"/>
    <x v="0"/>
    <x v="0"/>
    <x v="0"/>
  </r>
  <r>
    <n v="106"/>
    <x v="0"/>
    <x v="0"/>
    <x v="0"/>
    <x v="0"/>
    <s v="553fee3c21ab4328508c8e467806613e"/>
    <d v="2018-01-12T00:00:00"/>
    <d v="2018-03-02T00:00:00"/>
    <x v="7"/>
    <m/>
    <x v="0"/>
    <m/>
    <x v="0"/>
    <x v="3"/>
    <x v="1"/>
    <s v=""/>
    <x v="1"/>
    <x v="2"/>
    <x v="4"/>
    <n v="0"/>
    <n v="0"/>
    <n v="148.9"/>
    <s v=""/>
    <x v="0"/>
    <x v="0"/>
    <x v="0"/>
    <x v="0"/>
  </r>
  <r>
    <n v="107"/>
    <x v="0"/>
    <x v="0"/>
    <x v="1"/>
    <x v="1"/>
    <s v="dba741d70126a95feb85435175370edc"/>
    <d v="2018-01-24T00:00:00"/>
    <d v="2018-03-05T00:00:00"/>
    <x v="8"/>
    <d v="2018-01-30T00:00:00"/>
    <x v="0"/>
    <d v="2018-01-26T00:00:00"/>
    <x v="0"/>
    <x v="1"/>
    <x v="0"/>
    <s v="f457c46070d02cadd8a68551231220dd"/>
    <x v="0"/>
    <x v="3"/>
    <x v="2"/>
    <n v="69.900000000000006"/>
    <n v="16.93"/>
    <n v="86.83"/>
    <s v="Estimated 2018-03-05; handed to carrier 2018-01-26; no delivery recorded by end of 2018-03-18"/>
    <x v="1"/>
    <x v="0"/>
    <x v="0"/>
    <x v="0"/>
  </r>
  <r>
    <n v="108"/>
    <x v="0"/>
    <x v="0"/>
    <x v="1"/>
    <x v="1"/>
    <s v="bf74f34eea55f16dd17b6212310074f8"/>
    <d v="2018-01-26T00:00:00"/>
    <d v="2018-03-05T00:00:00"/>
    <x v="8"/>
    <d v="2018-01-31T00:00:00"/>
    <x v="0"/>
    <d v="2018-01-29T00:00:00"/>
    <x v="0"/>
    <x v="1"/>
    <x v="0"/>
    <s v="2e1c9f22be269ef4643f826c9e650a52"/>
    <x v="0"/>
    <x v="0"/>
    <x v="14"/>
    <n v="157.49"/>
    <n v="38.65"/>
    <n v="196.14"/>
    <s v="Estimated 2018-03-05; handed to carrier 2018-01-29; no delivery recorded by end of 2018-03-18"/>
    <x v="1"/>
    <x v="0"/>
    <x v="0"/>
    <x v="0"/>
  </r>
  <r>
    <n v="109"/>
    <x v="0"/>
    <x v="0"/>
    <x v="1"/>
    <x v="1"/>
    <s v="855ae4582654ba4a199f982c721df826"/>
    <d v="2018-01-25T00:00:00"/>
    <d v="2018-03-05T00:00:00"/>
    <x v="8"/>
    <d v="2018-02-01T00:00:00"/>
    <x v="0"/>
    <d v="2018-01-30T00:00:00"/>
    <x v="0"/>
    <x v="1"/>
    <x v="0"/>
    <s v="955fee9216a65b617aa5c0531780ce60"/>
    <x v="0"/>
    <x v="0"/>
    <x v="6"/>
    <n v="69.900000000000006"/>
    <n v="32.94"/>
    <n v="102.84"/>
    <s v="Estimated 2018-03-05; handed to carrier 2018-01-30; no delivery recorded by end of 2018-03-18"/>
    <x v="1"/>
    <x v="0"/>
    <x v="0"/>
    <x v="0"/>
  </r>
  <r>
    <n v="110"/>
    <x v="0"/>
    <x v="0"/>
    <x v="1"/>
    <x v="1"/>
    <s v="93c6619a4bcc406da04323380c97d896"/>
    <d v="2018-01-26T00:00:00"/>
    <d v="2018-03-05T00:00:00"/>
    <x v="8"/>
    <d v="2018-02-01T00:00:00"/>
    <x v="0"/>
    <d v="2018-01-29T00:00:00"/>
    <x v="0"/>
    <x v="1"/>
    <x v="0"/>
    <s v="8b321bb669392f5163d04c59e235e066"/>
    <x v="0"/>
    <x v="0"/>
    <x v="14"/>
    <n v="14.6"/>
    <n v="34.15"/>
    <n v="48.75"/>
    <s v="Estimated 2018-03-05; handed to carrier 2018-01-29; no delivery recorded by end of 2018-03-18"/>
    <x v="1"/>
    <x v="0"/>
    <x v="0"/>
    <x v="0"/>
  </r>
  <r>
    <n v="111"/>
    <x v="0"/>
    <x v="0"/>
    <x v="0"/>
    <x v="0"/>
    <s v="eba9f7d9010e498a2fdd4a48583db537"/>
    <d v="2018-01-29T00:00:00"/>
    <d v="2018-03-05T00:00:00"/>
    <x v="8"/>
    <d v="2018-02-02T00:00:00"/>
    <x v="0"/>
    <m/>
    <x v="0"/>
    <x v="4"/>
    <x v="0"/>
    <s v="ab3e0c171fe84a7ba7de130f19cfb485"/>
    <x v="0"/>
    <x v="3"/>
    <x v="1"/>
    <n v="239.97"/>
    <n v="59.4"/>
    <n v="299.37"/>
    <s v="Estimated 2018-03-05; approved 2018-01-29; ship-by 2018-02-02; not handed to carrier by end of 2018-03-18"/>
    <x v="0"/>
    <x v="0"/>
    <x v="0"/>
    <x v="0"/>
  </r>
  <r>
    <n v="112"/>
    <x v="0"/>
    <x v="0"/>
    <x v="0"/>
    <x v="0"/>
    <s v="ab13cb6c13063f2603a94c9ddca34f66"/>
    <d v="2018-01-16T00:00:00"/>
    <d v="2018-03-05T00:00:00"/>
    <x v="8"/>
    <d v="2018-02-05T00:00:00"/>
    <x v="0"/>
    <m/>
    <x v="0"/>
    <x v="1"/>
    <x v="0"/>
    <s v="cf8ab1616079e2793aa29d524df01bb1"/>
    <x v="0"/>
    <x v="0"/>
    <x v="15"/>
    <n v="1599"/>
    <n v="125.04"/>
    <n v="1724.04"/>
    <s v="Estimated 2018-03-05; approved 2018-01-16; ship-by 2018-02-05; not handed to carrier by end of 2018-03-18"/>
    <x v="0"/>
    <x v="0"/>
    <x v="0"/>
    <x v="0"/>
  </r>
  <r>
    <n v="113"/>
    <x v="0"/>
    <x v="0"/>
    <x v="0"/>
    <x v="0"/>
    <s v="d8734ba226623cf1c86b3cce8cbffa78"/>
    <d v="2018-01-31T00:00:00"/>
    <d v="2018-03-05T00:00:00"/>
    <x v="8"/>
    <d v="2018-02-06T00:00:00"/>
    <x v="0"/>
    <m/>
    <x v="0"/>
    <x v="1"/>
    <x v="0"/>
    <s v="0b35c634521043bf4b47e21547b99ab5"/>
    <x v="0"/>
    <x v="3"/>
    <x v="1"/>
    <n v="569"/>
    <n v="20.420000000000002"/>
    <n v="589.41999999999996"/>
    <s v="Estimated 2018-03-05; approved 2018-01-31; ship-by 2018-02-06; not handed to carrier by end of 2018-03-18"/>
    <x v="0"/>
    <x v="0"/>
    <x v="0"/>
    <x v="0"/>
  </r>
  <r>
    <n v="114"/>
    <x v="0"/>
    <x v="0"/>
    <x v="1"/>
    <x v="1"/>
    <s v="3e47a8cc66024053901d7313a7d2a0b7"/>
    <d v="2018-01-29T00:00:00"/>
    <d v="2018-03-05T00:00:00"/>
    <x v="8"/>
    <d v="2018-02-06T00:00:00"/>
    <x v="0"/>
    <d v="2018-02-01T00:00:00"/>
    <x v="0"/>
    <x v="1"/>
    <x v="0"/>
    <s v="e5a38146df062edaf55c38afa99e42dc"/>
    <x v="0"/>
    <x v="0"/>
    <x v="6"/>
    <n v="299.89999999999998"/>
    <n v="30.5"/>
    <n v="330.4"/>
    <s v="Estimated 2018-03-05; handed to carrier 2018-02-01; no delivery recorded by end of 2018-03-18"/>
    <x v="1"/>
    <x v="0"/>
    <x v="0"/>
    <x v="0"/>
  </r>
  <r>
    <n v="115"/>
    <x v="0"/>
    <x v="0"/>
    <x v="1"/>
    <x v="1"/>
    <s v="4605d0821fe434dafe3776fd89aab59b"/>
    <d v="2018-01-31T00:00:00"/>
    <d v="2018-03-05T00:00:00"/>
    <x v="8"/>
    <d v="2018-02-06T00:00:00"/>
    <x v="0"/>
    <d v="2018-02-02T00:00:00"/>
    <x v="0"/>
    <x v="1"/>
    <x v="0"/>
    <s v="77530e9772f57a62c906e1c21538ab82"/>
    <x v="0"/>
    <x v="3"/>
    <x v="1"/>
    <n v="148"/>
    <n v="20.28"/>
    <n v="168.28"/>
    <s v="Estimated 2018-03-05; handed to carrier 2018-02-02; no delivery recorded by end of 2018-03-18"/>
    <x v="1"/>
    <x v="0"/>
    <x v="0"/>
    <x v="0"/>
  </r>
  <r>
    <n v="116"/>
    <x v="0"/>
    <x v="0"/>
    <x v="0"/>
    <x v="0"/>
    <s v="167d05678f810589a854d30460ae62f0"/>
    <d v="2018-02-03T00:00:00"/>
    <d v="2018-03-05T00:00:00"/>
    <x v="8"/>
    <d v="2018-02-07T00:00:00"/>
    <x v="0"/>
    <m/>
    <x v="0"/>
    <x v="1"/>
    <x v="0"/>
    <s v="d05ae8f7a5bd1d2a690a44cd079e4e27"/>
    <x v="0"/>
    <x v="4"/>
    <x v="5"/>
    <n v="192"/>
    <n v="17.78"/>
    <n v="209.78"/>
    <s v="Estimated 2018-03-05; approved 2018-02-03; ship-by 2018-02-07; not handed to carrier by end of 2018-03-18"/>
    <x v="0"/>
    <x v="0"/>
    <x v="0"/>
    <x v="0"/>
  </r>
  <r>
    <n v="117"/>
    <x v="0"/>
    <x v="0"/>
    <x v="1"/>
    <x v="1"/>
    <s v="f31535f21d145b2345e2bf7f09d62322"/>
    <d v="2018-02-01T00:00:00"/>
    <d v="2018-03-05T00:00:00"/>
    <x v="8"/>
    <d v="2018-02-08T00:00:00"/>
    <x v="0"/>
    <d v="2018-02-02T00:00:00"/>
    <x v="0"/>
    <x v="1"/>
    <x v="0"/>
    <s v="91f0eec23d4a61d7d7caeefa3f0ad1ca"/>
    <x v="0"/>
    <x v="5"/>
    <x v="1"/>
    <n v="199"/>
    <n v="24.26"/>
    <n v="223.26"/>
    <s v="Estimated 2018-03-05; handed to carrier 2018-02-02; no delivery recorded by end of 2018-03-18"/>
    <x v="1"/>
    <x v="0"/>
    <x v="0"/>
    <x v="0"/>
  </r>
  <r>
    <n v="118"/>
    <x v="0"/>
    <x v="0"/>
    <x v="1"/>
    <x v="1"/>
    <s v="10aa3224bbb698312ca210f229f91b5e"/>
    <d v="2018-02-05T00:00:00"/>
    <d v="2018-03-05T00:00:00"/>
    <x v="8"/>
    <d v="2018-02-09T00:00:00"/>
    <x v="0"/>
    <d v="2018-02-19T00:00:00"/>
    <x v="0"/>
    <x v="1"/>
    <x v="0"/>
    <s v="c60b801f2d52c7f7f91de00870882a75"/>
    <x v="0"/>
    <x v="0"/>
    <x v="1"/>
    <n v="1399"/>
    <n v="24.54"/>
    <n v="1423.54"/>
    <s v="Estimated 2018-03-05; handed to carrier 2018-02-19; no delivery recorded by end of 2018-03-18"/>
    <x v="1"/>
    <x v="0"/>
    <x v="0"/>
    <x v="0"/>
  </r>
  <r>
    <n v="119"/>
    <x v="0"/>
    <x v="0"/>
    <x v="1"/>
    <x v="1"/>
    <s v="9a9a504bd8c303044422d2ca234992d1"/>
    <d v="2018-02-08T00:00:00"/>
    <d v="2018-03-05T00:00:00"/>
    <x v="8"/>
    <d v="2018-02-14T00:00:00"/>
    <x v="0"/>
    <d v="2018-02-09T00:00:00"/>
    <x v="0"/>
    <x v="1"/>
    <x v="0"/>
    <s v="b17b679f4f5ce2e03ce6968c62648246"/>
    <x v="0"/>
    <x v="0"/>
    <x v="1"/>
    <n v="102.9"/>
    <n v="17.97"/>
    <n v="120.87"/>
    <s v="Estimated 2018-03-05; handed to carrier 2018-02-09; no delivery recorded by end of 2018-03-18"/>
    <x v="1"/>
    <x v="0"/>
    <x v="0"/>
    <x v="0"/>
  </r>
  <r>
    <n v="120"/>
    <x v="0"/>
    <x v="0"/>
    <x v="1"/>
    <x v="1"/>
    <s v="403d9938537f6a0538d6860e3e7bc7fa"/>
    <d v="2018-02-11T00:00:00"/>
    <d v="2018-03-05T00:00:00"/>
    <x v="8"/>
    <d v="2018-02-27T00:00:00"/>
    <x v="0"/>
    <d v="2018-02-21T00:00:00"/>
    <x v="0"/>
    <x v="1"/>
    <x v="0"/>
    <s v="cb3dd9ce66268c7a3ca7241ac70ab58c"/>
    <x v="0"/>
    <x v="0"/>
    <x v="3"/>
    <n v="79.989999999999995"/>
    <n v="16.260000000000002"/>
    <n v="96.25"/>
    <s v="Estimated 2018-03-05; handed to carrier 2018-02-21; no delivery recorded by end of 2018-03-18"/>
    <x v="1"/>
    <x v="0"/>
    <x v="0"/>
    <x v="0"/>
  </r>
  <r>
    <n v="121"/>
    <x v="0"/>
    <x v="0"/>
    <x v="0"/>
    <x v="0"/>
    <s v="453d6f15ae1c7406d6ec6a5ee3909b82"/>
    <d v="2018-02-09T00:00:00"/>
    <d v="2018-03-05T00:00:00"/>
    <x v="8"/>
    <m/>
    <x v="0"/>
    <m/>
    <x v="0"/>
    <x v="3"/>
    <x v="1"/>
    <s v=""/>
    <x v="1"/>
    <x v="2"/>
    <x v="1"/>
    <n v="0"/>
    <n v="0"/>
    <n v="77.19"/>
    <s v=""/>
    <x v="0"/>
    <x v="0"/>
    <x v="0"/>
    <x v="0"/>
  </r>
  <r>
    <n v="122"/>
    <x v="0"/>
    <x v="0"/>
    <x v="0"/>
    <x v="0"/>
    <s v="d49363a0cc2a1915a5a11f85ea08ea48"/>
    <d v="2018-02-07T00:00:00"/>
    <d v="2018-03-05T00:00:00"/>
    <x v="8"/>
    <m/>
    <x v="0"/>
    <m/>
    <x v="0"/>
    <x v="3"/>
    <x v="1"/>
    <s v=""/>
    <x v="1"/>
    <x v="2"/>
    <x v="10"/>
    <n v="0"/>
    <n v="0"/>
    <n v="102.66"/>
    <s v=""/>
    <x v="0"/>
    <x v="0"/>
    <x v="0"/>
    <x v="0"/>
  </r>
  <r>
    <n v="123"/>
    <x v="0"/>
    <x v="0"/>
    <x v="0"/>
    <x v="0"/>
    <s v="eb278cfbeefc0a9180876153de58d693"/>
    <d v="2018-02-09T00:00:00"/>
    <d v="2018-03-05T00:00:00"/>
    <x v="8"/>
    <m/>
    <x v="0"/>
    <m/>
    <x v="0"/>
    <x v="3"/>
    <x v="1"/>
    <s v=""/>
    <x v="1"/>
    <x v="2"/>
    <x v="1"/>
    <n v="0"/>
    <n v="0"/>
    <n v="95.32"/>
    <s v=""/>
    <x v="0"/>
    <x v="0"/>
    <x v="0"/>
    <x v="0"/>
  </r>
  <r>
    <n v="124"/>
    <x v="0"/>
    <x v="0"/>
    <x v="1"/>
    <x v="1"/>
    <s v="9f0e70e8d046d9e0626bbdaf1aff88c4"/>
    <d v="2018-01-24T00:00:00"/>
    <d v="2018-03-06T00:00:00"/>
    <x v="9"/>
    <d v="2018-01-30T00:00:00"/>
    <x v="0"/>
    <d v="2018-01-25T00:00:00"/>
    <x v="0"/>
    <x v="1"/>
    <x v="0"/>
    <s v="6c7d50c24b3ccd2fd83b44d8bb34e073"/>
    <x v="0"/>
    <x v="0"/>
    <x v="16"/>
    <n v="126.69"/>
    <n v="39.880000000000003"/>
    <n v="166.57"/>
    <s v="Estimated 2018-03-06; handed to carrier 2018-01-25; no delivery recorded by end of 2018-03-18"/>
    <x v="1"/>
    <x v="0"/>
    <x v="0"/>
    <x v="0"/>
  </r>
  <r>
    <n v="125"/>
    <x v="0"/>
    <x v="0"/>
    <x v="0"/>
    <x v="0"/>
    <s v="a402af38a74c44926247db438245d95c"/>
    <d v="2018-01-30T00:00:00"/>
    <d v="2018-03-06T00:00:00"/>
    <x v="9"/>
    <d v="2018-02-05T00:00:00"/>
    <x v="0"/>
    <m/>
    <x v="0"/>
    <x v="1"/>
    <x v="0"/>
    <s v="b7cc6c5e001441ae8cdd5c69a480cbe4"/>
    <x v="0"/>
    <x v="5"/>
    <x v="2"/>
    <n v="199"/>
    <n v="83.25"/>
    <n v="282.25"/>
    <s v="Estimated 2018-03-06; approved 2018-01-30; ship-by 2018-02-05; not handed to carrier by end of 2018-03-18"/>
    <x v="0"/>
    <x v="0"/>
    <x v="0"/>
    <x v="0"/>
  </r>
  <r>
    <n v="126"/>
    <x v="0"/>
    <x v="0"/>
    <x v="1"/>
    <x v="1"/>
    <s v="acbf78375e415ab56c0f6160901b6167"/>
    <d v="2018-01-23T00:00:00"/>
    <d v="2018-03-06T00:00:00"/>
    <x v="9"/>
    <d v="2018-02-06T00:00:00"/>
    <x v="0"/>
    <d v="2018-02-07T00:00:00"/>
    <x v="0"/>
    <x v="1"/>
    <x v="0"/>
    <s v="7c67e1448b00f6e969d365cea6b010ab"/>
    <x v="0"/>
    <x v="0"/>
    <x v="1"/>
    <n v="136.99"/>
    <n v="62.78"/>
    <n v="199.77"/>
    <s v="Estimated 2018-03-06; handed to carrier 2018-02-07; no delivery recorded by end of 2018-03-18"/>
    <x v="1"/>
    <x v="0"/>
    <x v="0"/>
    <x v="0"/>
  </r>
  <r>
    <n v="127"/>
    <x v="0"/>
    <x v="0"/>
    <x v="1"/>
    <x v="1"/>
    <s v="854f8cb8dacdc3abc4cce7a7df6fcc1f"/>
    <d v="2018-02-02T00:00:00"/>
    <d v="2018-03-06T00:00:00"/>
    <x v="9"/>
    <d v="2018-02-08T00:00:00"/>
    <x v="0"/>
    <d v="2018-02-08T00:00:00"/>
    <x v="0"/>
    <x v="1"/>
    <x v="0"/>
    <s v="1f50f920176fa81dab994f9023523100"/>
    <x v="0"/>
    <x v="0"/>
    <x v="1"/>
    <n v="49.9"/>
    <n v="17.600000000000001"/>
    <n v="67.5"/>
    <s v="Estimated 2018-03-06; handed to carrier 2018-02-08; no delivery recorded by end of 2018-03-18"/>
    <x v="1"/>
    <x v="0"/>
    <x v="0"/>
    <x v="0"/>
  </r>
  <r>
    <n v="128"/>
    <x v="0"/>
    <x v="0"/>
    <x v="1"/>
    <x v="1"/>
    <s v="0a7beb2015960a4d8c4ec8bbde5a1f5f"/>
    <d v="2018-01-20T00:00:00"/>
    <d v="2018-03-06T00:00:00"/>
    <x v="9"/>
    <d v="2018-02-09T00:00:00"/>
    <x v="0"/>
    <d v="2018-02-17T00:00:00"/>
    <x v="0"/>
    <x v="1"/>
    <x v="0"/>
    <s v="7c67e1448b00f6e969d365cea6b010ab"/>
    <x v="0"/>
    <x v="0"/>
    <x v="17"/>
    <n v="79.989999999999995"/>
    <n v="22.88"/>
    <n v="102.87"/>
    <s v="Estimated 2018-03-06; handed to carrier 2018-02-17; no delivery recorded by end of 2018-03-18"/>
    <x v="1"/>
    <x v="0"/>
    <x v="0"/>
    <x v="0"/>
  </r>
  <r>
    <n v="129"/>
    <x v="0"/>
    <x v="0"/>
    <x v="1"/>
    <x v="1"/>
    <s v="8c81d5854b1977c139c82372fade2084"/>
    <d v="2018-02-05T00:00:00"/>
    <d v="2018-03-06T00:00:00"/>
    <x v="9"/>
    <d v="2018-02-13T00:00:00"/>
    <x v="0"/>
    <d v="2018-02-26T00:00:00"/>
    <x v="0"/>
    <x v="1"/>
    <x v="0"/>
    <s v="cca3071e3e9bb7d12640c9fbe2301306"/>
    <x v="0"/>
    <x v="0"/>
    <x v="2"/>
    <n v="87.85"/>
    <n v="17.86"/>
    <n v="105.71"/>
    <s v="Estimated 2018-03-06; handed to carrier 2018-02-26; no delivery recorded by end of 2018-03-18"/>
    <x v="1"/>
    <x v="0"/>
    <x v="0"/>
    <x v="0"/>
  </r>
  <r>
    <n v="130"/>
    <x v="0"/>
    <x v="0"/>
    <x v="1"/>
    <x v="1"/>
    <s v="16ed456866d66d9108a13a17374364c4"/>
    <d v="2018-02-09T00:00:00"/>
    <d v="2018-03-06T00:00:00"/>
    <x v="9"/>
    <d v="2018-02-15T00:00:00"/>
    <x v="0"/>
    <d v="2018-02-16T00:00:00"/>
    <x v="0"/>
    <x v="1"/>
    <x v="0"/>
    <s v="4e922959ae960d389249c378d1c939f5"/>
    <x v="0"/>
    <x v="0"/>
    <x v="1"/>
    <n v="145"/>
    <n v="21.5"/>
    <n v="166.5"/>
    <s v="Estimated 2018-03-06; handed to carrier 2018-02-16; no delivery recorded by end of 2018-03-18"/>
    <x v="1"/>
    <x v="0"/>
    <x v="0"/>
    <x v="0"/>
  </r>
  <r>
    <n v="131"/>
    <x v="0"/>
    <x v="0"/>
    <x v="1"/>
    <x v="1"/>
    <s v="fab521689278ba031dbcb0dadb19207e"/>
    <d v="2018-02-11T00:00:00"/>
    <d v="2018-03-06T00:00:00"/>
    <x v="9"/>
    <d v="2018-02-15T00:00:00"/>
    <x v="0"/>
    <d v="2018-02-14T00:00:00"/>
    <x v="0"/>
    <x v="2"/>
    <x v="0"/>
    <s v="7a67c85e85bb2ce8582c35f2203ad736"/>
    <x v="0"/>
    <x v="0"/>
    <x v="1"/>
    <n v="125.98"/>
    <n v="33.380000000000003"/>
    <n v="159.36000000000001"/>
    <s v="Estimated 2018-03-06; handed to carrier 2018-02-14; no delivery recorded by end of 2018-03-18"/>
    <x v="1"/>
    <x v="0"/>
    <x v="0"/>
    <x v="0"/>
  </r>
  <r>
    <n v="132"/>
    <x v="0"/>
    <x v="0"/>
    <x v="0"/>
    <x v="0"/>
    <s v="77de2b6b4ddbe44561245ee168593b5e"/>
    <d v="2018-02-11T00:00:00"/>
    <d v="2018-03-06T00:00:00"/>
    <x v="9"/>
    <d v="2018-02-15T00:00:00"/>
    <x v="0"/>
    <m/>
    <x v="0"/>
    <x v="1"/>
    <x v="0"/>
    <s v="89c127985a8b130cfa45c1d36764017a"/>
    <x v="0"/>
    <x v="0"/>
    <x v="3"/>
    <n v="84.9"/>
    <n v="13.61"/>
    <n v="98.51"/>
    <s v="Estimated 2018-03-06; approved 2018-02-11; ship-by 2018-02-15; not handed to carrier by end of 2018-03-18"/>
    <x v="0"/>
    <x v="0"/>
    <x v="0"/>
    <x v="0"/>
  </r>
  <r>
    <n v="133"/>
    <x v="0"/>
    <x v="0"/>
    <x v="1"/>
    <x v="1"/>
    <s v="2d58df29239f4ee3887103ef2576e857"/>
    <d v="2018-02-10T00:00:00"/>
    <d v="2018-03-06T00:00:00"/>
    <x v="9"/>
    <d v="2018-02-15T00:00:00"/>
    <x v="0"/>
    <d v="2018-02-15T00:00:00"/>
    <x v="0"/>
    <x v="1"/>
    <x v="0"/>
    <s v="834f8533b2ecb6598dd004ff3de7203a"/>
    <x v="0"/>
    <x v="0"/>
    <x v="1"/>
    <n v="71.599999999999994"/>
    <n v="15.26"/>
    <n v="86.86"/>
    <s v="Estimated 2018-03-06; handed to carrier 2018-02-15; no delivery recorded by end of 2018-03-18"/>
    <x v="1"/>
    <x v="0"/>
    <x v="0"/>
    <x v="0"/>
  </r>
  <r>
    <n v="134"/>
    <x v="0"/>
    <x v="0"/>
    <x v="1"/>
    <x v="1"/>
    <s v="3c901df8e80c646961877910379f4c1d"/>
    <d v="2018-02-09T00:00:00"/>
    <d v="2018-03-06T00:00:00"/>
    <x v="9"/>
    <d v="2018-02-15T00:00:00"/>
    <x v="0"/>
    <d v="2018-02-19T00:00:00"/>
    <x v="0"/>
    <x v="1"/>
    <x v="0"/>
    <s v="b561927807645834b59ef0d16ba55a24"/>
    <x v="0"/>
    <x v="0"/>
    <x v="2"/>
    <n v="38"/>
    <n v="15.1"/>
    <n v="53.1"/>
    <s v="Estimated 2018-03-06; handed to carrier 2018-02-19; no delivery recorded by end of 2018-03-18"/>
    <x v="1"/>
    <x v="0"/>
    <x v="0"/>
    <x v="0"/>
  </r>
  <r>
    <n v="135"/>
    <x v="0"/>
    <x v="0"/>
    <x v="1"/>
    <x v="1"/>
    <s v="e65ddff691f659fab67bed2e90069d9b"/>
    <d v="2018-02-12T00:00:00"/>
    <d v="2018-03-06T00:00:00"/>
    <x v="9"/>
    <d v="2018-02-16T00:00:00"/>
    <x v="0"/>
    <d v="2018-02-14T00:00:00"/>
    <x v="0"/>
    <x v="1"/>
    <x v="0"/>
    <s v="6560211a19b47992c3666cc44a7e94c0"/>
    <x v="0"/>
    <x v="0"/>
    <x v="1"/>
    <n v="49"/>
    <n v="14.1"/>
    <n v="63.1"/>
    <s v="Estimated 2018-03-06; handed to carrier 2018-02-14; no delivery recorded by end of 2018-03-18"/>
    <x v="1"/>
    <x v="0"/>
    <x v="0"/>
    <x v="0"/>
  </r>
  <r>
    <n v="136"/>
    <x v="0"/>
    <x v="0"/>
    <x v="1"/>
    <x v="1"/>
    <s v="d7d9b2d3d6316241ec880b97446b797e"/>
    <d v="2018-02-12T00:00:00"/>
    <d v="2018-03-06T00:00:00"/>
    <x v="9"/>
    <d v="2018-02-16T00:00:00"/>
    <x v="0"/>
    <d v="2018-02-14T00:00:00"/>
    <x v="0"/>
    <x v="1"/>
    <x v="0"/>
    <s v="562fc2f2c2863ab7e79a9e4388a58a14"/>
    <x v="0"/>
    <x v="0"/>
    <x v="3"/>
    <n v="29.99"/>
    <n v="11.85"/>
    <n v="41.84"/>
    <s v="Estimated 2018-03-06; handed to carrier 2018-02-14; no delivery recorded by end of 2018-03-18"/>
    <x v="1"/>
    <x v="0"/>
    <x v="0"/>
    <x v="0"/>
  </r>
  <r>
    <n v="137"/>
    <x v="0"/>
    <x v="0"/>
    <x v="1"/>
    <x v="1"/>
    <s v="fe36a827e3e9e0a6f5e11b0be2055727"/>
    <d v="2018-02-12T00:00:00"/>
    <d v="2018-03-06T00:00:00"/>
    <x v="9"/>
    <d v="2018-02-19T00:00:00"/>
    <x v="0"/>
    <d v="2018-02-15T00:00:00"/>
    <x v="0"/>
    <x v="1"/>
    <x v="0"/>
    <s v="f7ccf836d21b2fb1de37564105216cc1"/>
    <x v="0"/>
    <x v="0"/>
    <x v="3"/>
    <n v="43"/>
    <n v="12.69"/>
    <n v="55.69"/>
    <s v="Estimated 2018-03-06; handed to carrier 2018-02-15; no delivery recorded by end of 2018-03-18"/>
    <x v="1"/>
    <x v="0"/>
    <x v="0"/>
    <x v="0"/>
  </r>
  <r>
    <n v="138"/>
    <x v="0"/>
    <x v="0"/>
    <x v="1"/>
    <x v="1"/>
    <s v="868848b4871ab271d735d67e64584f81"/>
    <d v="2018-02-13T00:00:00"/>
    <d v="2018-03-06T00:00:00"/>
    <x v="9"/>
    <d v="2018-02-19T00:00:00"/>
    <x v="0"/>
    <d v="2018-02-14T00:00:00"/>
    <x v="0"/>
    <x v="1"/>
    <x v="0"/>
    <s v="d20b021d3efdf267a402c402a48ea64b"/>
    <x v="0"/>
    <x v="0"/>
    <x v="3"/>
    <n v="10.99"/>
    <n v="11.85"/>
    <n v="22.84"/>
    <s v="Estimated 2018-03-06; handed to carrier 2018-02-14; no delivery recorded by end of 2018-03-18"/>
    <x v="1"/>
    <x v="0"/>
    <x v="0"/>
    <x v="0"/>
  </r>
  <r>
    <n v="139"/>
    <x v="0"/>
    <x v="0"/>
    <x v="1"/>
    <x v="1"/>
    <s v="a2714ecbf6eeb3bb9cd7dba6dc1c5e82"/>
    <d v="2018-02-14T00:00:00"/>
    <d v="2018-03-06T00:00:00"/>
    <x v="9"/>
    <d v="2018-02-20T00:00:00"/>
    <x v="0"/>
    <d v="2018-02-15T00:00:00"/>
    <x v="0"/>
    <x v="1"/>
    <x v="0"/>
    <s v="fffd5413c0700ac820c7069d66d98c89"/>
    <x v="0"/>
    <x v="0"/>
    <x v="3"/>
    <n v="99.8"/>
    <n v="33.97"/>
    <n v="133.77000000000001"/>
    <s v="Estimated 2018-03-06; handed to carrier 2018-02-15; no delivery recorded by end of 2018-03-18"/>
    <x v="1"/>
    <x v="0"/>
    <x v="0"/>
    <x v="0"/>
  </r>
  <r>
    <n v="140"/>
    <x v="0"/>
    <x v="0"/>
    <x v="1"/>
    <x v="1"/>
    <s v="affcfd3067c168967157abe801a3c4ec"/>
    <d v="2018-02-17T00:00:00"/>
    <d v="2018-03-06T00:00:00"/>
    <x v="9"/>
    <d v="2018-02-21T00:00:00"/>
    <x v="0"/>
    <d v="2018-02-19T00:00:00"/>
    <x v="0"/>
    <x v="1"/>
    <x v="0"/>
    <s v="6560211a19b47992c3666cc44a7e94c0"/>
    <x v="0"/>
    <x v="0"/>
    <x v="3"/>
    <n v="49"/>
    <n v="7.78"/>
    <n v="56.78"/>
    <s v="Estimated 2018-03-06; handed to carrier 2018-02-19; no delivery recorded by end of 2018-03-18"/>
    <x v="1"/>
    <x v="0"/>
    <x v="0"/>
    <x v="0"/>
  </r>
  <r>
    <n v="141"/>
    <x v="0"/>
    <x v="0"/>
    <x v="1"/>
    <x v="1"/>
    <s v="e84484718ecfbc4f6c98105b691b2bd8"/>
    <d v="2018-02-09T00:00:00"/>
    <d v="2018-03-06T00:00:00"/>
    <x v="9"/>
    <d v="2018-02-22T00:00:00"/>
    <x v="0"/>
    <d v="2018-03-06T00:00:00"/>
    <x v="0"/>
    <x v="2"/>
    <x v="0"/>
    <s v="373ee4a3a775a733770ca3f790b8b9ac"/>
    <x v="0"/>
    <x v="4"/>
    <x v="3"/>
    <n v="158"/>
    <n v="40.08"/>
    <n v="198.08"/>
    <s v="Estimated 2018-03-06; handed to carrier 2018-03-06; no delivery recorded by end of 2018-03-18"/>
    <x v="1"/>
    <x v="0"/>
    <x v="0"/>
    <x v="0"/>
  </r>
  <r>
    <n v="142"/>
    <x v="0"/>
    <x v="0"/>
    <x v="1"/>
    <x v="1"/>
    <s v="5a34dfccd6fb223c870ad34652d64274"/>
    <d v="2018-02-14T00:00:00"/>
    <d v="2018-03-06T00:00:00"/>
    <x v="9"/>
    <d v="2018-02-22T00:00:00"/>
    <x v="0"/>
    <d v="2018-02-17T00:00:00"/>
    <x v="0"/>
    <x v="1"/>
    <x v="0"/>
    <s v="da8622b14eb17ae2831f4ac5b9dab84a"/>
    <x v="0"/>
    <x v="0"/>
    <x v="3"/>
    <n v="74.900000000000006"/>
    <n v="12.86"/>
    <n v="87.76"/>
    <s v="Estimated 2018-03-06; handed to carrier 2018-02-17; no delivery recorded by end of 2018-03-18"/>
    <x v="1"/>
    <x v="0"/>
    <x v="0"/>
    <x v="0"/>
  </r>
  <r>
    <n v="143"/>
    <x v="0"/>
    <x v="0"/>
    <x v="1"/>
    <x v="1"/>
    <s v="943625151a5d8d00da80e96a90930e03"/>
    <d v="2018-02-17T00:00:00"/>
    <d v="2018-03-06T00:00:00"/>
    <x v="9"/>
    <d v="2018-02-22T00:00:00"/>
    <x v="0"/>
    <d v="2018-02-20T00:00:00"/>
    <x v="0"/>
    <x v="1"/>
    <x v="0"/>
    <s v="9674754b5a0cb32b638cec001178f799"/>
    <x v="0"/>
    <x v="0"/>
    <x v="3"/>
    <n v="41.29"/>
    <n v="9.34"/>
    <n v="50.63"/>
    <s v="Estimated 2018-03-06; handed to carrier 2018-02-20; no delivery recorded by end of 2018-03-18"/>
    <x v="1"/>
    <x v="0"/>
    <x v="0"/>
    <x v="0"/>
  </r>
  <r>
    <n v="144"/>
    <x v="0"/>
    <x v="0"/>
    <x v="0"/>
    <x v="0"/>
    <s v="0584a31bb6abbd3dcc27e2d464ac863d"/>
    <d v="2018-02-18T00:00:00"/>
    <d v="2018-03-06T00:00:00"/>
    <x v="9"/>
    <d v="2018-02-26T00:00:00"/>
    <x v="0"/>
    <m/>
    <x v="0"/>
    <x v="1"/>
    <x v="0"/>
    <s v="ec2e006556300a79a5a91e4876ab3a56"/>
    <x v="0"/>
    <x v="0"/>
    <x v="3"/>
    <n v="12.9"/>
    <n v="8.7200000000000006"/>
    <n v="21.62"/>
    <s v="Estimated 2018-03-06; approved 2018-02-20; ship-by 2018-02-26; not handed to carrier by end of 2018-03-18"/>
    <x v="0"/>
    <x v="0"/>
    <x v="0"/>
    <x v="0"/>
  </r>
  <r>
    <n v="145"/>
    <x v="0"/>
    <x v="0"/>
    <x v="0"/>
    <x v="0"/>
    <s v="127f8f54e84665683a3c9bde5b3e768c"/>
    <d v="2018-02-08T00:00:00"/>
    <d v="2018-03-06T00:00:00"/>
    <x v="9"/>
    <m/>
    <x v="0"/>
    <m/>
    <x v="0"/>
    <x v="3"/>
    <x v="1"/>
    <s v=""/>
    <x v="1"/>
    <x v="2"/>
    <x v="3"/>
    <n v="0"/>
    <n v="0"/>
    <n v="94.21"/>
    <s v=""/>
    <x v="0"/>
    <x v="0"/>
    <x v="0"/>
    <x v="0"/>
  </r>
  <r>
    <n v="146"/>
    <x v="0"/>
    <x v="0"/>
    <x v="0"/>
    <x v="0"/>
    <s v="1e792fcdefb0bb34325cdc1dee84fcea"/>
    <d v="2018-02-11T00:00:00"/>
    <d v="2018-03-06T00:00:00"/>
    <x v="9"/>
    <m/>
    <x v="0"/>
    <m/>
    <x v="0"/>
    <x v="3"/>
    <x v="1"/>
    <s v=""/>
    <x v="1"/>
    <x v="2"/>
    <x v="1"/>
    <n v="0"/>
    <n v="0"/>
    <n v="113.45"/>
    <s v=""/>
    <x v="0"/>
    <x v="0"/>
    <x v="0"/>
    <x v="0"/>
  </r>
  <r>
    <n v="147"/>
    <x v="0"/>
    <x v="0"/>
    <x v="0"/>
    <x v="0"/>
    <s v="a2bcbea8668a0d93334cf7f7fafe921d"/>
    <d v="2018-02-12T00:00:00"/>
    <d v="2018-03-06T00:00:00"/>
    <x v="9"/>
    <m/>
    <x v="0"/>
    <m/>
    <x v="0"/>
    <x v="3"/>
    <x v="1"/>
    <s v=""/>
    <x v="1"/>
    <x v="2"/>
    <x v="1"/>
    <n v="0"/>
    <n v="0"/>
    <n v="93.3"/>
    <s v=""/>
    <x v="0"/>
    <x v="0"/>
    <x v="0"/>
    <x v="0"/>
  </r>
  <r>
    <n v="148"/>
    <x v="0"/>
    <x v="0"/>
    <x v="1"/>
    <x v="1"/>
    <s v="d0fcf3d6dcc18a5c4ac51f06a56ec683"/>
    <d v="2018-01-31T00:00:00"/>
    <d v="2018-03-07T00:00:00"/>
    <x v="10"/>
    <d v="2018-02-07T00:00:00"/>
    <x v="0"/>
    <d v="2018-02-05T00:00:00"/>
    <x v="0"/>
    <x v="1"/>
    <x v="0"/>
    <s v="f12ff17ad8bbf01ec5c33b17e506649b"/>
    <x v="0"/>
    <x v="0"/>
    <x v="15"/>
    <n v="140"/>
    <n v="23.85"/>
    <n v="163.85"/>
    <s v="Estimated 2018-03-07; handed to carrier 2018-02-05; no delivery recorded by end of 2018-03-18"/>
    <x v="1"/>
    <x v="0"/>
    <x v="0"/>
    <x v="0"/>
  </r>
  <r>
    <n v="149"/>
    <x v="0"/>
    <x v="0"/>
    <x v="1"/>
    <x v="1"/>
    <s v="17072870cced0e2db845c2cc0bb385e7"/>
    <d v="2018-02-02T00:00:00"/>
    <d v="2018-03-07T00:00:00"/>
    <x v="10"/>
    <d v="2018-02-08T00:00:00"/>
    <x v="0"/>
    <d v="2018-02-03T00:00:00"/>
    <x v="0"/>
    <x v="2"/>
    <x v="0"/>
    <s v="7e1fb0a3ebfb01ffb3a7dae98bf3238d"/>
    <x v="0"/>
    <x v="0"/>
    <x v="6"/>
    <n v="728"/>
    <n v="55.66"/>
    <n v="783.66"/>
    <s v="Estimated 2018-03-07; handed to carrier 2018-02-03; no delivery recorded by end of 2018-03-18"/>
    <x v="1"/>
    <x v="0"/>
    <x v="0"/>
    <x v="0"/>
  </r>
  <r>
    <n v="150"/>
    <x v="0"/>
    <x v="0"/>
    <x v="0"/>
    <x v="0"/>
    <s v="0d906917988b5c890f8a5d80c26f8f32"/>
    <d v="2018-02-04T00:00:00"/>
    <d v="2018-03-07T00:00:00"/>
    <x v="10"/>
    <d v="2018-02-09T00:00:00"/>
    <x v="0"/>
    <m/>
    <x v="0"/>
    <x v="1"/>
    <x v="0"/>
    <s v="391bbd13b6452244774beff1824006ed"/>
    <x v="0"/>
    <x v="0"/>
    <x v="9"/>
    <n v="63.9"/>
    <n v="17.7"/>
    <n v="81.599999999999994"/>
    <s v="Estimated 2018-03-07; approved 2018-02-04; ship-by 2018-02-09; not handed to carrier by end of 2018-03-18"/>
    <x v="0"/>
    <x v="0"/>
    <x v="0"/>
    <x v="0"/>
  </r>
  <r>
    <n v="151"/>
    <x v="0"/>
    <x v="0"/>
    <x v="1"/>
    <x v="1"/>
    <s v="b372525f79a03a4f4c7f33e311e3a6eb"/>
    <d v="2018-02-06T00:00:00"/>
    <d v="2018-03-07T00:00:00"/>
    <x v="10"/>
    <d v="2018-02-12T00:00:00"/>
    <x v="0"/>
    <d v="2018-02-07T00:00:00"/>
    <x v="0"/>
    <x v="1"/>
    <x v="0"/>
    <s v="7142540dd4c91e2237acb7e911c4eba2"/>
    <x v="0"/>
    <x v="0"/>
    <x v="1"/>
    <n v="89.9"/>
    <n v="17.88"/>
    <n v="107.78"/>
    <s v="Estimated 2018-03-07; handed to carrier 2018-02-07; no delivery recorded by end of 2018-03-18"/>
    <x v="1"/>
    <x v="0"/>
    <x v="0"/>
    <x v="0"/>
  </r>
  <r>
    <n v="152"/>
    <x v="0"/>
    <x v="0"/>
    <x v="1"/>
    <x v="1"/>
    <s v="5cb6969f0b3cd394de49463c4f4e4017"/>
    <d v="2018-02-07T00:00:00"/>
    <d v="2018-03-07T00:00:00"/>
    <x v="10"/>
    <d v="2018-02-15T00:00:00"/>
    <x v="0"/>
    <d v="2018-02-21T00:00:00"/>
    <x v="0"/>
    <x v="1"/>
    <x v="0"/>
    <s v="e59aa562b9f8076dd550fcddf0e73491"/>
    <x v="0"/>
    <x v="3"/>
    <x v="1"/>
    <n v="940.5"/>
    <n v="22.02"/>
    <n v="962.52"/>
    <s v="Estimated 2018-03-07; handed to carrier 2018-02-21; no delivery recorded by end of 2018-03-18"/>
    <x v="1"/>
    <x v="0"/>
    <x v="0"/>
    <x v="0"/>
  </r>
  <r>
    <n v="153"/>
    <x v="0"/>
    <x v="0"/>
    <x v="1"/>
    <x v="1"/>
    <s v="d99b8ff94ddb329c1d7e03ab9d9019e3"/>
    <d v="2018-02-09T00:00:00"/>
    <d v="2018-03-07T00:00:00"/>
    <x v="10"/>
    <d v="2018-02-15T00:00:00"/>
    <x v="0"/>
    <d v="2018-02-15T00:00:00"/>
    <x v="0"/>
    <x v="1"/>
    <x v="0"/>
    <s v="f62d7bb4a613ec758a03342d46b580b2"/>
    <x v="0"/>
    <x v="1"/>
    <x v="3"/>
    <n v="750"/>
    <n v="43.09"/>
    <n v="793.09"/>
    <s v="Estimated 2018-03-07; handed to carrier 2018-02-15; no delivery recorded by end of 2018-03-18"/>
    <x v="1"/>
    <x v="0"/>
    <x v="0"/>
    <x v="0"/>
  </r>
  <r>
    <n v="154"/>
    <x v="0"/>
    <x v="0"/>
    <x v="1"/>
    <x v="1"/>
    <s v="c1049eef89915c6beb3604bf3d6588d7"/>
    <d v="2018-02-05T00:00:00"/>
    <d v="2018-03-07T00:00:00"/>
    <x v="10"/>
    <d v="2018-02-15T00:00:00"/>
    <x v="0"/>
    <d v="2018-02-09T00:00:00"/>
    <x v="0"/>
    <x v="1"/>
    <x v="0"/>
    <s v="ceaec5548eefc6e23e6607c5435102e7"/>
    <x v="0"/>
    <x v="0"/>
    <x v="1"/>
    <n v="215"/>
    <n v="21"/>
    <n v="236"/>
    <s v="Estimated 2018-03-07; handed to carrier 2018-02-09; no delivery recorded by end of 2018-03-18"/>
    <x v="1"/>
    <x v="0"/>
    <x v="0"/>
    <x v="0"/>
  </r>
  <r>
    <n v="155"/>
    <x v="0"/>
    <x v="0"/>
    <x v="1"/>
    <x v="1"/>
    <s v="06bad3a130e91f7b26791dba22abc0f5"/>
    <d v="2018-02-09T00:00:00"/>
    <d v="2018-03-07T00:00:00"/>
    <x v="10"/>
    <d v="2018-02-15T00:00:00"/>
    <x v="0"/>
    <d v="2018-02-15T00:00:00"/>
    <x v="0"/>
    <x v="1"/>
    <x v="0"/>
    <s v="ce7d1888639e6fb06b2749cbfdac1ff7"/>
    <x v="0"/>
    <x v="1"/>
    <x v="2"/>
    <n v="165"/>
    <n v="17.63"/>
    <n v="182.63"/>
    <s v="Estimated 2018-03-07; handed to carrier 2018-02-15; no delivery recorded by end of 2018-03-18"/>
    <x v="1"/>
    <x v="0"/>
    <x v="0"/>
    <x v="0"/>
  </r>
  <r>
    <n v="156"/>
    <x v="0"/>
    <x v="0"/>
    <x v="1"/>
    <x v="1"/>
    <s v="ca7296a83aa279afb28c2388a4f48891"/>
    <d v="2018-02-07T00:00:00"/>
    <d v="2018-03-07T00:00:00"/>
    <x v="10"/>
    <d v="2018-02-15T00:00:00"/>
    <x v="0"/>
    <d v="2018-02-08T00:00:00"/>
    <x v="0"/>
    <x v="1"/>
    <x v="0"/>
    <s v="cc419e0650a3c5ba77189a1882b7556a"/>
    <x v="0"/>
    <x v="0"/>
    <x v="3"/>
    <n v="89.99"/>
    <n v="12.97"/>
    <n v="102.96"/>
    <s v="Estimated 2018-03-07; handed to carrier 2018-02-08; no delivery recorded by end of 2018-03-18"/>
    <x v="1"/>
    <x v="0"/>
    <x v="0"/>
    <x v="0"/>
  </r>
  <r>
    <n v="157"/>
    <x v="0"/>
    <x v="0"/>
    <x v="1"/>
    <x v="1"/>
    <s v="24fe7dc3b99f55e3d45f8d3d4c394811"/>
    <d v="2018-02-10T00:00:00"/>
    <d v="2018-03-07T00:00:00"/>
    <x v="10"/>
    <d v="2018-02-15T00:00:00"/>
    <x v="0"/>
    <d v="2018-02-15T00:00:00"/>
    <x v="0"/>
    <x v="1"/>
    <x v="0"/>
    <s v="994f04b3718c2bab35c2adfa8afecd2a"/>
    <x v="0"/>
    <x v="0"/>
    <x v="1"/>
    <n v="49.9"/>
    <n v="14.1"/>
    <n v="64"/>
    <s v="Estimated 2018-03-07; handed to carrier 2018-02-15; no delivery recorded by end of 2018-03-18"/>
    <x v="1"/>
    <x v="0"/>
    <x v="0"/>
    <x v="0"/>
  </r>
  <r>
    <n v="158"/>
    <x v="0"/>
    <x v="0"/>
    <x v="0"/>
    <x v="0"/>
    <s v="5754d3172f19f363edbaf03691b9f989"/>
    <d v="2018-02-09T00:00:00"/>
    <d v="2018-03-07T00:00:00"/>
    <x v="10"/>
    <d v="2018-02-15T00:00:00"/>
    <x v="0"/>
    <m/>
    <x v="0"/>
    <x v="1"/>
    <x v="0"/>
    <s v="c3fe93ba3085f92855c97e57f38c8c05"/>
    <x v="0"/>
    <x v="3"/>
    <x v="1"/>
    <n v="26"/>
    <n v="15.79"/>
    <n v="41.79"/>
    <s v="Estimated 2018-03-07; approved 2018-02-09; ship-by 2018-02-15; not handed to carrier by end of 2018-03-18"/>
    <x v="0"/>
    <x v="0"/>
    <x v="0"/>
    <x v="0"/>
  </r>
  <r>
    <n v="159"/>
    <x v="0"/>
    <x v="0"/>
    <x v="1"/>
    <x v="1"/>
    <s v="e10c65499c59e57eea4d979ac5eb3d0f"/>
    <d v="2018-02-12T00:00:00"/>
    <d v="2018-03-07T00:00:00"/>
    <x v="10"/>
    <d v="2018-02-16T00:00:00"/>
    <x v="0"/>
    <d v="2018-02-15T00:00:00"/>
    <x v="0"/>
    <x v="1"/>
    <x v="0"/>
    <s v="b33aaadd1a8891d2dfef0c4c3bdf0371"/>
    <x v="0"/>
    <x v="0"/>
    <x v="3"/>
    <n v="100"/>
    <n v="12.2"/>
    <n v="112.2"/>
    <s v="Estimated 2018-03-07; handed to carrier 2018-02-15; no delivery recorded by end of 2018-03-18"/>
    <x v="1"/>
    <x v="0"/>
    <x v="0"/>
    <x v="0"/>
  </r>
  <r>
    <n v="160"/>
    <x v="0"/>
    <x v="0"/>
    <x v="1"/>
    <x v="1"/>
    <s v="2591fdd6cc7718bac11436b57abd8163"/>
    <d v="2018-02-12T00:00:00"/>
    <d v="2018-03-07T00:00:00"/>
    <x v="10"/>
    <d v="2018-02-16T00:00:00"/>
    <x v="0"/>
    <d v="2018-02-16T00:00:00"/>
    <x v="0"/>
    <x v="2"/>
    <x v="0"/>
    <s v="1f50f920176fa81dab994f9023523100"/>
    <x v="0"/>
    <x v="0"/>
    <x v="1"/>
    <n v="99.8"/>
    <n v="35.200000000000003"/>
    <n v="135"/>
    <s v="Estimated 2018-03-07; handed to carrier 2018-02-16; no delivery recorded by end of 2018-03-18"/>
    <x v="1"/>
    <x v="0"/>
    <x v="0"/>
    <x v="0"/>
  </r>
  <r>
    <n v="161"/>
    <x v="0"/>
    <x v="0"/>
    <x v="1"/>
    <x v="1"/>
    <s v="b47f53f735ee76b0f07d10b4525d564e"/>
    <d v="2018-02-13T00:00:00"/>
    <d v="2018-03-07T00:00:00"/>
    <x v="10"/>
    <d v="2018-02-20T00:00:00"/>
    <x v="0"/>
    <d v="2018-02-21T00:00:00"/>
    <x v="0"/>
    <x v="1"/>
    <x v="0"/>
    <s v="3ade81dab5a172b88e1871c28ae05260"/>
    <x v="0"/>
    <x v="0"/>
    <x v="2"/>
    <n v="199"/>
    <n v="45.85"/>
    <n v="244.85"/>
    <s v="Estimated 2018-03-07; handed to carrier 2018-02-21; no delivery recorded by end of 2018-03-18"/>
    <x v="1"/>
    <x v="0"/>
    <x v="0"/>
    <x v="0"/>
  </r>
  <r>
    <n v="162"/>
    <x v="0"/>
    <x v="0"/>
    <x v="1"/>
    <x v="1"/>
    <s v="9516708e3c4612677ddf7c9167b54076"/>
    <d v="2018-02-14T00:00:00"/>
    <d v="2018-03-07T00:00:00"/>
    <x v="10"/>
    <d v="2018-02-20T00:00:00"/>
    <x v="0"/>
    <d v="2018-02-16T00:00:00"/>
    <x v="0"/>
    <x v="1"/>
    <x v="0"/>
    <s v="0dd184061fb0eaa7ca37932c68ab91c5"/>
    <x v="0"/>
    <x v="0"/>
    <x v="3"/>
    <n v="120"/>
    <n v="17.55"/>
    <n v="137.55000000000001"/>
    <s v="Estimated 2018-03-07; handed to carrier 2018-02-16; no delivery recorded by end of 2018-03-18"/>
    <x v="1"/>
    <x v="0"/>
    <x v="0"/>
    <x v="0"/>
  </r>
  <r>
    <n v="163"/>
    <x v="0"/>
    <x v="0"/>
    <x v="1"/>
    <x v="1"/>
    <s v="8caf289ab5d7e3ec7b4522aa22dabbec"/>
    <d v="2018-02-14T00:00:00"/>
    <d v="2018-03-07T00:00:00"/>
    <x v="10"/>
    <d v="2018-02-20T00:00:00"/>
    <x v="0"/>
    <d v="2018-02-17T00:00:00"/>
    <x v="0"/>
    <x v="1"/>
    <x v="0"/>
    <s v="46dc3b2cc0980fb8ec44634e21d2718e"/>
    <x v="0"/>
    <x v="4"/>
    <x v="3"/>
    <n v="49.99"/>
    <n v="14.1"/>
    <n v="64.09"/>
    <s v="Estimated 2018-03-07; handed to carrier 2018-02-17; no delivery recorded by end of 2018-03-18"/>
    <x v="1"/>
    <x v="0"/>
    <x v="0"/>
    <x v="0"/>
  </r>
  <r>
    <n v="164"/>
    <x v="0"/>
    <x v="0"/>
    <x v="1"/>
    <x v="1"/>
    <s v="5642f00882c2ab59e001778dc483135f"/>
    <d v="2018-02-09T00:00:00"/>
    <d v="2018-03-07T00:00:00"/>
    <x v="10"/>
    <d v="2018-02-20T00:00:00"/>
    <x v="0"/>
    <d v="2018-02-16T00:00:00"/>
    <x v="0"/>
    <x v="1"/>
    <x v="0"/>
    <s v="391fc6631aebcf3004804e51b40bcf1e"/>
    <x v="0"/>
    <x v="0"/>
    <x v="9"/>
    <n v="49.95"/>
    <n v="15.1"/>
    <n v="65.05"/>
    <s v="Estimated 2018-03-07; handed to carrier 2018-02-16; no delivery recorded by end of 2018-03-18"/>
    <x v="1"/>
    <x v="0"/>
    <x v="0"/>
    <x v="0"/>
  </r>
  <r>
    <n v="165"/>
    <x v="0"/>
    <x v="0"/>
    <x v="1"/>
    <x v="1"/>
    <s v="749d73f14d7f582a7c7b12894d552da2"/>
    <d v="2018-02-14T00:00:00"/>
    <d v="2018-03-07T00:00:00"/>
    <x v="10"/>
    <d v="2018-02-20T00:00:00"/>
    <x v="0"/>
    <d v="2018-02-15T00:00:00"/>
    <x v="0"/>
    <x v="1"/>
    <x v="0"/>
    <s v="282f23a9769b2690c5dda22e316f9941"/>
    <x v="0"/>
    <x v="1"/>
    <x v="1"/>
    <n v="40.799999999999997"/>
    <n v="15.11"/>
    <n v="55.91"/>
    <s v="Estimated 2018-03-07; handed to carrier 2018-02-15; no delivery recorded by end of 2018-03-18"/>
    <x v="1"/>
    <x v="0"/>
    <x v="0"/>
    <x v="0"/>
  </r>
  <r>
    <n v="166"/>
    <x v="0"/>
    <x v="0"/>
    <x v="1"/>
    <x v="1"/>
    <s v="fe9fae71b4fa7d05f1934adc54391f8d"/>
    <d v="2018-02-15T00:00:00"/>
    <d v="2018-03-07T00:00:00"/>
    <x v="10"/>
    <d v="2018-02-21T00:00:00"/>
    <x v="0"/>
    <d v="2018-02-21T00:00:00"/>
    <x v="0"/>
    <x v="1"/>
    <x v="0"/>
    <s v="3d871de0142ce09b7081e2b9d1733cb1"/>
    <x v="0"/>
    <x v="0"/>
    <x v="3"/>
    <n v="189"/>
    <n v="32.35"/>
    <n v="221.35"/>
    <s v="Estimated 2018-03-07; handed to carrier 2018-02-21; no delivery recorded by end of 2018-03-18"/>
    <x v="1"/>
    <x v="0"/>
    <x v="0"/>
    <x v="0"/>
  </r>
  <r>
    <n v="167"/>
    <x v="0"/>
    <x v="0"/>
    <x v="1"/>
    <x v="1"/>
    <s v="01e7cf79ff6fdb0a65634f714c67dd24"/>
    <d v="2018-02-15T00:00:00"/>
    <d v="2018-03-07T00:00:00"/>
    <x v="10"/>
    <d v="2018-02-21T00:00:00"/>
    <x v="0"/>
    <d v="2018-02-19T00:00:00"/>
    <x v="0"/>
    <x v="1"/>
    <x v="0"/>
    <s v="e5a3438891c0bfdb9394643f95273d8e"/>
    <x v="0"/>
    <x v="0"/>
    <x v="3"/>
    <n v="27.3"/>
    <n v="11.85"/>
    <n v="39.15"/>
    <s v="Estimated 2018-03-07; handed to carrier 2018-02-19; no delivery recorded by end of 2018-03-18"/>
    <x v="1"/>
    <x v="0"/>
    <x v="0"/>
    <x v="0"/>
  </r>
  <r>
    <n v="168"/>
    <x v="0"/>
    <x v="0"/>
    <x v="1"/>
    <x v="1"/>
    <s v="09f2c6e797b432724b3a123f1ec897bb"/>
    <d v="2018-02-15T00:00:00"/>
    <d v="2018-03-07T00:00:00"/>
    <x v="10"/>
    <d v="2018-02-21T00:00:00"/>
    <x v="0"/>
    <d v="2018-02-17T00:00:00"/>
    <x v="0"/>
    <x v="1"/>
    <x v="0"/>
    <s v="897060da8b9a21f655304d50fd935913"/>
    <x v="0"/>
    <x v="0"/>
    <x v="3"/>
    <n v="25.9"/>
    <n v="11.85"/>
    <n v="37.75"/>
    <s v="Estimated 2018-03-07; handed to carrier 2018-02-17; no delivery recorded by end of 2018-03-18"/>
    <x v="1"/>
    <x v="0"/>
    <x v="0"/>
    <x v="0"/>
  </r>
  <r>
    <n v="169"/>
    <x v="0"/>
    <x v="0"/>
    <x v="1"/>
    <x v="1"/>
    <s v="69ab938f05d407e090b2620357ad4103"/>
    <d v="2018-02-14T00:00:00"/>
    <d v="2018-03-07T00:00:00"/>
    <x v="10"/>
    <d v="2018-02-22T00:00:00"/>
    <x v="0"/>
    <d v="2018-02-15T00:00:00"/>
    <x v="0"/>
    <x v="1"/>
    <x v="0"/>
    <s v="a420f60ff1aa9acc80d0e42959f2b313"/>
    <x v="0"/>
    <x v="0"/>
    <x v="8"/>
    <n v="74.5"/>
    <n v="17.77"/>
    <n v="92.27"/>
    <s v="Estimated 2018-03-07; handed to carrier 2018-02-15; no delivery recorded by end of 2018-03-18"/>
    <x v="1"/>
    <x v="0"/>
    <x v="0"/>
    <x v="0"/>
  </r>
  <r>
    <n v="170"/>
    <x v="0"/>
    <x v="0"/>
    <x v="1"/>
    <x v="1"/>
    <s v="b74e2b985df55c2df5b2be2d9c1f68b4"/>
    <d v="2018-02-14T00:00:00"/>
    <d v="2018-03-07T00:00:00"/>
    <x v="10"/>
    <d v="2018-02-23T00:00:00"/>
    <x v="0"/>
    <d v="2018-02-16T00:00:00"/>
    <x v="0"/>
    <x v="1"/>
    <x v="0"/>
    <s v="cc419e0650a3c5ba77189a1882b7556a"/>
    <x v="0"/>
    <x v="0"/>
    <x v="1"/>
    <n v="89.99"/>
    <n v="16.39"/>
    <n v="106.38"/>
    <s v="Estimated 2018-03-07; handed to carrier 2018-02-16; no delivery recorded by end of 2018-03-18"/>
    <x v="1"/>
    <x v="0"/>
    <x v="0"/>
    <x v="0"/>
  </r>
  <r>
    <n v="171"/>
    <x v="0"/>
    <x v="0"/>
    <x v="1"/>
    <x v="1"/>
    <s v="d2cf258da81ae1043667e2f77c510deb"/>
    <d v="2018-02-15T00:00:00"/>
    <d v="2018-03-07T00:00:00"/>
    <x v="10"/>
    <d v="2018-02-23T00:00:00"/>
    <x v="0"/>
    <d v="2018-02-17T00:00:00"/>
    <x v="0"/>
    <x v="1"/>
    <x v="0"/>
    <s v="cc419e0650a3c5ba77189a1882b7556a"/>
    <x v="0"/>
    <x v="0"/>
    <x v="8"/>
    <n v="89.99"/>
    <n v="15.39"/>
    <n v="105.38"/>
    <s v="Estimated 2018-03-07; handed to carrier 2018-02-17; no delivery recorded by end of 2018-03-18"/>
    <x v="1"/>
    <x v="0"/>
    <x v="0"/>
    <x v="0"/>
  </r>
  <r>
    <n v="172"/>
    <x v="0"/>
    <x v="0"/>
    <x v="1"/>
    <x v="1"/>
    <s v="e43bf5e038481356e162cc65ab7fb1c2"/>
    <d v="2018-02-15T00:00:00"/>
    <d v="2018-03-07T00:00:00"/>
    <x v="10"/>
    <d v="2018-02-23T00:00:00"/>
    <x v="0"/>
    <d v="2018-02-16T00:00:00"/>
    <x v="0"/>
    <x v="1"/>
    <x v="0"/>
    <s v="1d29dfba02015238dfbe2449a5eaa361"/>
    <x v="0"/>
    <x v="1"/>
    <x v="3"/>
    <n v="52.9"/>
    <n v="15.12"/>
    <n v="68.02"/>
    <s v="Estimated 2018-03-07; handed to carrier 2018-02-16; no delivery recorded by end of 2018-03-18"/>
    <x v="1"/>
    <x v="0"/>
    <x v="0"/>
    <x v="0"/>
  </r>
  <r>
    <n v="173"/>
    <x v="0"/>
    <x v="0"/>
    <x v="0"/>
    <x v="0"/>
    <s v="d98c008ab7402c99b12dc051744284e8"/>
    <d v="2018-02-21T00:00:00"/>
    <d v="2018-03-07T00:00:00"/>
    <x v="10"/>
    <d v="2018-02-28T00:00:00"/>
    <x v="0"/>
    <m/>
    <x v="0"/>
    <x v="1"/>
    <x v="0"/>
    <s v="a673821011d0cec28146ea42f5ab767f"/>
    <x v="0"/>
    <x v="0"/>
    <x v="3"/>
    <n v="39.99"/>
    <n v="9.34"/>
    <n v="49.33"/>
    <s v="Estimated 2018-03-07; approved 2018-02-22; ship-by 2018-02-28; not handed to carrier by end of 2018-03-18"/>
    <x v="0"/>
    <x v="0"/>
    <x v="0"/>
    <x v="0"/>
  </r>
  <r>
    <n v="174"/>
    <x v="0"/>
    <x v="0"/>
    <x v="2"/>
    <x v="2"/>
    <s v="51192863a004d47d0e4f5bf5384bf88f"/>
    <d v="2018-02-13T00:00:00"/>
    <d v="2018-03-07T00:00:00"/>
    <x v="10"/>
    <m/>
    <x v="1"/>
    <m/>
    <x v="0"/>
    <x v="3"/>
    <x v="1"/>
    <s v=""/>
    <x v="1"/>
    <x v="2"/>
    <x v="3"/>
    <n v="0"/>
    <n v="0"/>
    <n v="51.75"/>
    <s v="Estimated 2018-03-07; purchased 2018-02-13; payment not approved by end of 2018-03-18"/>
    <x v="2"/>
    <x v="0"/>
    <x v="0"/>
    <x v="0"/>
  </r>
  <r>
    <n v="175"/>
    <x v="0"/>
    <x v="0"/>
    <x v="2"/>
    <x v="2"/>
    <s v="dba5062fbda3af4fb6c33b1e040ca38f"/>
    <d v="2018-02-09T00:00:00"/>
    <d v="2018-03-07T00:00:00"/>
    <x v="10"/>
    <m/>
    <x v="1"/>
    <m/>
    <x v="0"/>
    <x v="3"/>
    <x v="1"/>
    <s v=""/>
    <x v="1"/>
    <x v="2"/>
    <x v="17"/>
    <n v="0"/>
    <n v="0"/>
    <n v="137.6"/>
    <s v="Estimated 2018-03-07; purchased 2018-02-09; payment not approved by end of 2018-03-18"/>
    <x v="2"/>
    <x v="0"/>
    <x v="0"/>
    <x v="0"/>
  </r>
  <r>
    <n v="176"/>
    <x v="0"/>
    <x v="0"/>
    <x v="1"/>
    <x v="1"/>
    <s v="4fbc8d6f2f4db3e789d5a876fa349b56"/>
    <d v="2018-02-02T00:00:00"/>
    <d v="2018-03-08T00:00:00"/>
    <x v="11"/>
    <d v="2018-02-08T00:00:00"/>
    <x v="0"/>
    <d v="2018-02-08T00:00:00"/>
    <x v="0"/>
    <x v="1"/>
    <x v="0"/>
    <s v="4fb41dff7c50136976d1a5cf004a42e2"/>
    <x v="0"/>
    <x v="6"/>
    <x v="11"/>
    <n v="280"/>
    <n v="27.24"/>
    <n v="307.24"/>
    <s v="Estimated 2018-03-08; handed to carrier 2018-02-08; no delivery recorded by end of 2018-03-18"/>
    <x v="1"/>
    <x v="0"/>
    <x v="0"/>
    <x v="0"/>
  </r>
  <r>
    <n v="177"/>
    <x v="0"/>
    <x v="0"/>
    <x v="1"/>
    <x v="1"/>
    <s v="e356a4ff99aaf426f6f7dc94c846f398"/>
    <d v="2018-02-03T00:00:00"/>
    <d v="2018-03-08T00:00:00"/>
    <x v="11"/>
    <d v="2018-02-08T00:00:00"/>
    <x v="0"/>
    <d v="2018-02-05T00:00:00"/>
    <x v="0"/>
    <x v="1"/>
    <x v="0"/>
    <s v="fffd5413c0700ac820c7069d66d98c89"/>
    <x v="0"/>
    <x v="0"/>
    <x v="6"/>
    <n v="262.5"/>
    <n v="163.86"/>
    <n v="426.36"/>
    <s v="Estimated 2018-03-08; handed to carrier 2018-02-05; no delivery recorded by end of 2018-03-18"/>
    <x v="1"/>
    <x v="0"/>
    <x v="0"/>
    <x v="0"/>
  </r>
  <r>
    <n v="178"/>
    <x v="0"/>
    <x v="0"/>
    <x v="1"/>
    <x v="1"/>
    <s v="f3f65564546eca69a8247a280e51a77b"/>
    <d v="2018-02-02T00:00:00"/>
    <d v="2018-03-08T00:00:00"/>
    <x v="11"/>
    <d v="2018-02-09T00:00:00"/>
    <x v="0"/>
    <d v="2018-02-16T00:00:00"/>
    <x v="0"/>
    <x v="4"/>
    <x v="0"/>
    <s v="6973a06f484aacf400ece213dbf3d946"/>
    <x v="0"/>
    <x v="0"/>
    <x v="8"/>
    <n v="806.97"/>
    <n v="49.89"/>
    <n v="856.86"/>
    <s v="Estimated 2018-03-08; handed to carrier 2018-02-16; no delivery recorded by end of 2018-03-18"/>
    <x v="1"/>
    <x v="0"/>
    <x v="0"/>
    <x v="0"/>
  </r>
  <r>
    <n v="179"/>
    <x v="0"/>
    <x v="0"/>
    <x v="1"/>
    <x v="1"/>
    <s v="3a221cd6b7d813e2b6cf57339f37a062"/>
    <d v="2018-02-05T00:00:00"/>
    <d v="2018-03-08T00:00:00"/>
    <x v="11"/>
    <d v="2018-02-09T00:00:00"/>
    <x v="0"/>
    <d v="2018-02-06T00:00:00"/>
    <x v="0"/>
    <x v="1"/>
    <x v="0"/>
    <s v="bd0389da23d89b726abf911cccc54596"/>
    <x v="0"/>
    <x v="7"/>
    <x v="6"/>
    <n v="89.9"/>
    <n v="34.43"/>
    <n v="124.33"/>
    <s v="Estimated 2018-03-08; handed to carrier 2018-02-06; no delivery recorded by end of 2018-03-18"/>
    <x v="1"/>
    <x v="0"/>
    <x v="0"/>
    <x v="0"/>
  </r>
  <r>
    <n v="180"/>
    <x v="0"/>
    <x v="0"/>
    <x v="1"/>
    <x v="1"/>
    <s v="7307b10c1d2a536f3f07f18be33d9de7"/>
    <d v="2018-02-07T00:00:00"/>
    <d v="2018-03-08T00:00:00"/>
    <x v="11"/>
    <d v="2018-02-13T00:00:00"/>
    <x v="0"/>
    <d v="2018-02-27T00:00:00"/>
    <x v="0"/>
    <x v="1"/>
    <x v="0"/>
    <s v="f5a590cf36251cf1162ea35bef76fe84"/>
    <x v="0"/>
    <x v="0"/>
    <x v="2"/>
    <n v="269.89999999999998"/>
    <n v="19.14"/>
    <n v="289.04000000000002"/>
    <s v="Estimated 2018-03-08; handed to carrier 2018-02-27; no delivery recorded by end of 2018-03-18"/>
    <x v="1"/>
    <x v="0"/>
    <x v="0"/>
    <x v="0"/>
  </r>
  <r>
    <n v="181"/>
    <x v="0"/>
    <x v="0"/>
    <x v="1"/>
    <x v="1"/>
    <s v="243b66cfd676e63e7db35e7341acdf7b"/>
    <d v="2018-02-07T00:00:00"/>
    <d v="2018-03-08T00:00:00"/>
    <x v="11"/>
    <d v="2018-02-13T00:00:00"/>
    <x v="0"/>
    <d v="2018-02-07T00:00:00"/>
    <x v="0"/>
    <x v="1"/>
    <x v="0"/>
    <s v="1eade46fba20122dc4aefb379f8c636b"/>
    <x v="0"/>
    <x v="0"/>
    <x v="4"/>
    <n v="56.99"/>
    <n v="16.97"/>
    <n v="73.959999999999994"/>
    <s v="Estimated 2018-03-08; handed to carrier 2018-02-07; no delivery recorded by end of 2018-03-18"/>
    <x v="1"/>
    <x v="0"/>
    <x v="0"/>
    <x v="0"/>
  </r>
  <r>
    <n v="182"/>
    <x v="0"/>
    <x v="0"/>
    <x v="1"/>
    <x v="1"/>
    <s v="7582b8c10039cceafcfe7b13e41a91e2"/>
    <d v="2018-02-07T00:00:00"/>
    <d v="2018-03-08T00:00:00"/>
    <x v="11"/>
    <d v="2018-02-13T00:00:00"/>
    <x v="0"/>
    <d v="2018-02-10T00:00:00"/>
    <x v="0"/>
    <x v="1"/>
    <x v="0"/>
    <s v="cca3071e3e9bb7d12640c9fbe2301306"/>
    <x v="0"/>
    <x v="0"/>
    <x v="2"/>
    <n v="24.9"/>
    <n v="15.1"/>
    <n v="40"/>
    <s v="Estimated 2018-03-08; handed to carrier 2018-02-10; no delivery recorded by end of 2018-03-18"/>
    <x v="1"/>
    <x v="0"/>
    <x v="0"/>
    <x v="0"/>
  </r>
  <r>
    <n v="183"/>
    <x v="0"/>
    <x v="0"/>
    <x v="1"/>
    <x v="1"/>
    <s v="eadaca4f30575b6c3a4c4efebce9d252"/>
    <d v="2018-02-05T00:00:00"/>
    <d v="2018-03-08T00:00:00"/>
    <x v="11"/>
    <d v="2018-02-14T00:00:00"/>
    <x v="0"/>
    <d v="2018-02-09T00:00:00"/>
    <x v="0"/>
    <x v="1"/>
    <x v="0"/>
    <s v="d624126b9206f595fb3fbb6ba03b28a8"/>
    <x v="0"/>
    <x v="3"/>
    <x v="0"/>
    <n v="899"/>
    <n v="41.65"/>
    <n v="940.65"/>
    <s v="Estimated 2018-03-08; handed to carrier 2018-02-09; no delivery recorded by end of 2018-03-18"/>
    <x v="1"/>
    <x v="0"/>
    <x v="0"/>
    <x v="0"/>
  </r>
  <r>
    <n v="184"/>
    <x v="0"/>
    <x v="0"/>
    <x v="0"/>
    <x v="0"/>
    <s v="ce0a53468ddde09e79f73edba370ceec"/>
    <d v="2018-02-08T00:00:00"/>
    <d v="2018-03-08T00:00:00"/>
    <x v="11"/>
    <d v="2018-02-14T00:00:00"/>
    <x v="0"/>
    <m/>
    <x v="0"/>
    <x v="1"/>
    <x v="0"/>
    <s v="6560211a19b47992c3666cc44a7e94c0"/>
    <x v="0"/>
    <x v="0"/>
    <x v="4"/>
    <n v="65"/>
    <n v="16.89"/>
    <n v="81.89"/>
    <s v="Estimated 2018-03-08; approved 2018-02-08; ship-by 2018-02-14; not handed to carrier by end of 2018-03-18"/>
    <x v="0"/>
    <x v="0"/>
    <x v="0"/>
    <x v="0"/>
  </r>
  <r>
    <n v="185"/>
    <x v="0"/>
    <x v="0"/>
    <x v="1"/>
    <x v="1"/>
    <s v="756893c5dc2102b9555b660dffb03813"/>
    <d v="2018-02-09T00:00:00"/>
    <d v="2018-03-08T00:00:00"/>
    <x v="11"/>
    <d v="2018-02-14T00:00:00"/>
    <x v="0"/>
    <d v="2018-02-14T00:00:00"/>
    <x v="0"/>
    <x v="1"/>
    <x v="0"/>
    <s v="0adac9fbd9a2b63cccaac4f8756c1ca8"/>
    <x v="0"/>
    <x v="0"/>
    <x v="1"/>
    <n v="46.9"/>
    <n v="15.1"/>
    <n v="62"/>
    <s v="Estimated 2018-03-08; handed to carrier 2018-02-14; no delivery recorded by end of 2018-03-18"/>
    <x v="1"/>
    <x v="0"/>
    <x v="0"/>
    <x v="0"/>
  </r>
  <r>
    <n v="186"/>
    <x v="0"/>
    <x v="0"/>
    <x v="1"/>
    <x v="1"/>
    <s v="e6d47ca86bcbef462feb6a77ce1d21ce"/>
    <d v="2018-02-10T00:00:00"/>
    <d v="2018-03-08T00:00:00"/>
    <x v="11"/>
    <d v="2018-02-15T00:00:00"/>
    <x v="0"/>
    <d v="2018-02-21T00:00:00"/>
    <x v="0"/>
    <x v="4"/>
    <x v="0"/>
    <s v="d2374cbcbb3ca4ab1086534108cc3ab7"/>
    <x v="0"/>
    <x v="0"/>
    <x v="2"/>
    <n v="116.7"/>
    <n v="52.8"/>
    <n v="169.5"/>
    <s v="Estimated 2018-03-08; handed to carrier 2018-02-21; no delivery recorded by end of 2018-03-18"/>
    <x v="1"/>
    <x v="0"/>
    <x v="0"/>
    <x v="0"/>
  </r>
  <r>
    <n v="187"/>
    <x v="0"/>
    <x v="0"/>
    <x v="1"/>
    <x v="1"/>
    <s v="68cf1c197f0444a28730011879182f7a"/>
    <d v="2018-02-12T00:00:00"/>
    <d v="2018-03-08T00:00:00"/>
    <x v="11"/>
    <d v="2018-02-16T00:00:00"/>
    <x v="0"/>
    <d v="2018-02-22T00:00:00"/>
    <x v="0"/>
    <x v="1"/>
    <x v="0"/>
    <s v="d2374cbcbb3ca4ab1086534108cc3ab7"/>
    <x v="0"/>
    <x v="0"/>
    <x v="1"/>
    <n v="12.9"/>
    <n v="15.1"/>
    <n v="28"/>
    <s v="Estimated 2018-03-08; handed to carrier 2018-02-22; no delivery recorded by end of 2018-03-18"/>
    <x v="1"/>
    <x v="0"/>
    <x v="0"/>
    <x v="0"/>
  </r>
  <r>
    <n v="188"/>
    <x v="0"/>
    <x v="0"/>
    <x v="0"/>
    <x v="0"/>
    <s v="4fafa25ee16300a26f7ef92f3d15b58b"/>
    <d v="2018-02-09T00:00:00"/>
    <d v="2018-03-08T00:00:00"/>
    <x v="11"/>
    <d v="2018-02-19T00:00:00"/>
    <x v="0"/>
    <m/>
    <x v="0"/>
    <x v="1"/>
    <x v="0"/>
    <s v="f543ba3c973276f519d89d59bd46cead"/>
    <x v="0"/>
    <x v="0"/>
    <x v="1"/>
    <n v="129"/>
    <n v="86.06"/>
    <n v="215.06"/>
    <s v="Estimated 2018-03-08; approved 2018-02-10; ship-by 2018-02-19; not handed to carrier by end of 2018-03-18"/>
    <x v="0"/>
    <x v="0"/>
    <x v="0"/>
    <x v="0"/>
  </r>
  <r>
    <n v="189"/>
    <x v="0"/>
    <x v="0"/>
    <x v="1"/>
    <x v="1"/>
    <s v="fa2e4f22d5a4e8d2e7ddbd342245259a"/>
    <d v="2018-02-13T00:00:00"/>
    <d v="2018-03-08T00:00:00"/>
    <x v="11"/>
    <d v="2018-02-19T00:00:00"/>
    <x v="0"/>
    <d v="2018-03-10T00:00:00"/>
    <x v="0"/>
    <x v="1"/>
    <x v="0"/>
    <s v="b19f3ca2ea475913750f25a5c37c8d8f"/>
    <x v="0"/>
    <x v="1"/>
    <x v="3"/>
    <n v="99.89"/>
    <n v="25.54"/>
    <n v="125.43"/>
    <s v="Estimated 2018-03-08; handed to carrier 2018-03-10; no delivery recorded by end of 2018-03-18"/>
    <x v="1"/>
    <x v="0"/>
    <x v="0"/>
    <x v="0"/>
  </r>
  <r>
    <n v="190"/>
    <x v="0"/>
    <x v="0"/>
    <x v="1"/>
    <x v="1"/>
    <s v="f03ccc35dd341e035efa0ca47c83cf10"/>
    <d v="2018-02-14T00:00:00"/>
    <d v="2018-03-08T00:00:00"/>
    <x v="11"/>
    <d v="2018-02-20T00:00:00"/>
    <x v="0"/>
    <d v="2018-03-05T00:00:00"/>
    <x v="0"/>
    <x v="1"/>
    <x v="0"/>
    <s v="b19f3ca2ea475913750f25a5c37c8d8f"/>
    <x v="0"/>
    <x v="1"/>
    <x v="1"/>
    <n v="329.9"/>
    <n v="50.84"/>
    <n v="380.74"/>
    <s v="Estimated 2018-03-08; handed to carrier 2018-03-05; no delivery recorded by end of 2018-03-18"/>
    <x v="1"/>
    <x v="0"/>
    <x v="0"/>
    <x v="0"/>
  </r>
  <r>
    <n v="191"/>
    <x v="0"/>
    <x v="0"/>
    <x v="1"/>
    <x v="1"/>
    <s v="cd9b65ef397b95d0e1fa108caad89718"/>
    <d v="2018-02-14T00:00:00"/>
    <d v="2018-03-08T00:00:00"/>
    <x v="11"/>
    <d v="2018-02-20T00:00:00"/>
    <x v="0"/>
    <d v="2018-02-19T00:00:00"/>
    <x v="0"/>
    <x v="1"/>
    <x v="0"/>
    <s v="b2ba3715d723d245138f291a6fe42594"/>
    <x v="0"/>
    <x v="0"/>
    <x v="17"/>
    <n v="229.9"/>
    <n v="17.86"/>
    <n v="247.76"/>
    <s v="Estimated 2018-03-08; handed to carrier 2018-02-19; no delivery recorded by end of 2018-03-18"/>
    <x v="1"/>
    <x v="0"/>
    <x v="0"/>
    <x v="0"/>
  </r>
  <r>
    <n v="192"/>
    <x v="0"/>
    <x v="0"/>
    <x v="1"/>
    <x v="1"/>
    <s v="885935156ba43094f3ae95f3c14e0381"/>
    <d v="2018-02-02T00:00:00"/>
    <d v="2018-03-08T00:00:00"/>
    <x v="11"/>
    <d v="2018-02-20T00:00:00"/>
    <x v="0"/>
    <d v="2018-02-07T00:00:00"/>
    <x v="0"/>
    <x v="1"/>
    <x v="0"/>
    <s v="ca3bd7cd9f149df75950150d010fe4a2"/>
    <x v="0"/>
    <x v="0"/>
    <x v="1"/>
    <n v="26.18"/>
    <n v="16.600000000000001"/>
    <n v="42.78"/>
    <s v="Estimated 2018-03-08; handed to carrier 2018-02-07; no delivery recorded by end of 2018-03-18"/>
    <x v="1"/>
    <x v="0"/>
    <x v="0"/>
    <x v="0"/>
  </r>
  <r>
    <n v="193"/>
    <x v="0"/>
    <x v="0"/>
    <x v="1"/>
    <x v="1"/>
    <s v="b713808dd06ed1a61d95a024a3e367a1"/>
    <d v="2018-02-14T00:00:00"/>
    <d v="2018-03-08T00:00:00"/>
    <x v="11"/>
    <d v="2018-02-21T00:00:00"/>
    <x v="0"/>
    <d v="2018-02-15T00:00:00"/>
    <x v="0"/>
    <x v="1"/>
    <x v="0"/>
    <s v="a1043bafd471dff536d0c462352beb48"/>
    <x v="0"/>
    <x v="1"/>
    <x v="2"/>
    <n v="120"/>
    <n v="26.46"/>
    <n v="146.46"/>
    <s v="Estimated 2018-03-08; handed to carrier 2018-02-15; no delivery recorded by end of 2018-03-18"/>
    <x v="1"/>
    <x v="0"/>
    <x v="0"/>
    <x v="0"/>
  </r>
  <r>
    <n v="194"/>
    <x v="0"/>
    <x v="0"/>
    <x v="1"/>
    <x v="1"/>
    <s v="beebcdb81ca8d717ee63fbee85b1826e"/>
    <d v="2018-02-09T00:00:00"/>
    <d v="2018-03-08T00:00:00"/>
    <x v="11"/>
    <d v="2018-02-21T00:00:00"/>
    <x v="0"/>
    <d v="2018-02-19T00:00:00"/>
    <x v="0"/>
    <x v="1"/>
    <x v="0"/>
    <s v="92eb0f42c21942b6552362b9b114707d"/>
    <x v="0"/>
    <x v="0"/>
    <x v="6"/>
    <n v="18.98"/>
    <n v="17.63"/>
    <n v="36.61"/>
    <s v="Estimated 2018-03-08; handed to carrier 2018-02-19; no delivery recorded by end of 2018-03-18"/>
    <x v="1"/>
    <x v="0"/>
    <x v="0"/>
    <x v="0"/>
  </r>
  <r>
    <n v="195"/>
    <x v="0"/>
    <x v="0"/>
    <x v="1"/>
    <x v="1"/>
    <s v="4ef546f6f1165d23cd5134e9c5ab83d7"/>
    <d v="2018-02-15T00:00:00"/>
    <d v="2018-03-08T00:00:00"/>
    <x v="11"/>
    <d v="2018-02-21T00:00:00"/>
    <x v="0"/>
    <d v="2018-03-02T00:00:00"/>
    <x v="0"/>
    <x v="1"/>
    <x v="0"/>
    <s v="d20b021d3efdf267a402c402a48ea64b"/>
    <x v="0"/>
    <x v="0"/>
    <x v="1"/>
    <n v="10.99"/>
    <n v="15.1"/>
    <n v="26.09"/>
    <s v="Estimated 2018-03-08; handed to carrier 2018-03-02; no delivery recorded by end of 2018-03-18"/>
    <x v="1"/>
    <x v="0"/>
    <x v="0"/>
    <x v="0"/>
  </r>
  <r>
    <n v="196"/>
    <x v="0"/>
    <x v="0"/>
    <x v="1"/>
    <x v="1"/>
    <s v="87ef9c6a3db3017348305df0c36ba7e8"/>
    <d v="2018-02-15T00:00:00"/>
    <d v="2018-03-08T00:00:00"/>
    <x v="11"/>
    <d v="2018-02-22T00:00:00"/>
    <x v="0"/>
    <d v="2018-02-19T00:00:00"/>
    <x v="0"/>
    <x v="1"/>
    <x v="0"/>
    <s v="a3e9a2c700480d9bb01fba070ba80a0e"/>
    <x v="0"/>
    <x v="0"/>
    <x v="1"/>
    <n v="42"/>
    <n v="16.11"/>
    <n v="58.11"/>
    <s v="Estimated 2018-03-08; handed to carrier 2018-02-19; no delivery recorded by end of 2018-03-18"/>
    <x v="1"/>
    <x v="0"/>
    <x v="0"/>
    <x v="0"/>
  </r>
  <r>
    <n v="197"/>
    <x v="0"/>
    <x v="0"/>
    <x v="1"/>
    <x v="1"/>
    <s v="db2e05029f564b8953ddf3766e3b99f5"/>
    <d v="2018-02-15T00:00:00"/>
    <d v="2018-03-08T00:00:00"/>
    <x v="11"/>
    <d v="2018-02-22T00:00:00"/>
    <x v="0"/>
    <d v="2018-02-16T00:00:00"/>
    <x v="0"/>
    <x v="1"/>
    <x v="0"/>
    <s v="218d46b86c1881d022bce9c68a7d4b15"/>
    <x v="0"/>
    <x v="0"/>
    <x v="3"/>
    <n v="39"/>
    <n v="12.69"/>
    <n v="51.69"/>
    <s v="Estimated 2018-03-08; handed to carrier 2018-02-16; no delivery recorded by end of 2018-03-18"/>
    <x v="1"/>
    <x v="0"/>
    <x v="0"/>
    <x v="0"/>
  </r>
  <r>
    <n v="198"/>
    <x v="0"/>
    <x v="0"/>
    <x v="1"/>
    <x v="1"/>
    <s v="d6a6ab6b5f102f746569eb2c620e8be6"/>
    <d v="2018-02-15T00:00:00"/>
    <d v="2018-03-08T00:00:00"/>
    <x v="11"/>
    <d v="2018-02-26T00:00:00"/>
    <x v="0"/>
    <d v="2018-02-17T00:00:00"/>
    <x v="0"/>
    <x v="1"/>
    <x v="0"/>
    <s v="cc419e0650a3c5ba77189a1882b7556a"/>
    <x v="0"/>
    <x v="0"/>
    <x v="8"/>
    <n v="23.99"/>
    <n v="14.1"/>
    <n v="38.090000000000003"/>
    <s v="Estimated 2018-03-08; handed to carrier 2018-02-17; no delivery recorded by end of 2018-03-18"/>
    <x v="1"/>
    <x v="0"/>
    <x v="0"/>
    <x v="0"/>
  </r>
  <r>
    <n v="199"/>
    <x v="0"/>
    <x v="0"/>
    <x v="1"/>
    <x v="1"/>
    <s v="25a178eea0cfa9b0489aa1d8294423bf"/>
    <d v="2018-02-22T00:00:00"/>
    <d v="2018-03-08T00:00:00"/>
    <x v="11"/>
    <d v="2018-02-28T00:00:00"/>
    <x v="0"/>
    <d v="2018-03-01T00:00:00"/>
    <x v="0"/>
    <x v="4"/>
    <x v="0"/>
    <s v="4c2b230173bb36f9b240f2b8ac11786e"/>
    <x v="0"/>
    <x v="0"/>
    <x v="3"/>
    <n v="137.69999999999999"/>
    <n v="23.34"/>
    <n v="161.04"/>
    <s v="Estimated 2018-03-08; handed to carrier 2018-03-01; no delivery recorded by end of 2018-03-18"/>
    <x v="1"/>
    <x v="0"/>
    <x v="0"/>
    <x v="0"/>
  </r>
  <r>
    <n v="200"/>
    <x v="0"/>
    <x v="0"/>
    <x v="1"/>
    <x v="1"/>
    <s v="25f3c6052aa7604ff162e5a12b77298d"/>
    <d v="2018-02-22T00:00:00"/>
    <d v="2018-03-08T00:00:00"/>
    <x v="11"/>
    <d v="2018-03-01T00:00:00"/>
    <x v="0"/>
    <d v="2018-02-26T00:00:00"/>
    <x v="0"/>
    <x v="1"/>
    <x v="0"/>
    <s v="8f2ce03f928b567e3d56181ae20ae952"/>
    <x v="0"/>
    <x v="0"/>
    <x v="3"/>
    <n v="99.9"/>
    <n v="13.25"/>
    <n v="113.15"/>
    <s v="Estimated 2018-03-08; handed to carrier 2018-02-26; no delivery recorded by end of 2018-03-18"/>
    <x v="1"/>
    <x v="0"/>
    <x v="0"/>
    <x v="0"/>
  </r>
  <r>
    <n v="201"/>
    <x v="0"/>
    <x v="0"/>
    <x v="0"/>
    <x v="0"/>
    <s v="5ca9d935dd5306bf85a2f1e263d058f1"/>
    <d v="2018-02-06T00:00:00"/>
    <d v="2018-03-08T00:00:00"/>
    <x v="11"/>
    <m/>
    <x v="0"/>
    <m/>
    <x v="0"/>
    <x v="3"/>
    <x v="1"/>
    <s v=""/>
    <x v="1"/>
    <x v="2"/>
    <x v="10"/>
    <n v="0"/>
    <n v="0"/>
    <n v="216.05"/>
    <s v=""/>
    <x v="0"/>
    <x v="0"/>
    <x v="0"/>
    <x v="0"/>
  </r>
  <r>
    <n v="202"/>
    <x v="0"/>
    <x v="0"/>
    <x v="1"/>
    <x v="1"/>
    <s v="27c747b711a812bafe3c276823a6bf73"/>
    <d v="2018-02-01T00:00:00"/>
    <d v="2018-03-09T00:00:00"/>
    <x v="12"/>
    <d v="2018-02-08T00:00:00"/>
    <x v="0"/>
    <d v="2018-02-05T00:00:00"/>
    <x v="0"/>
    <x v="1"/>
    <x v="0"/>
    <s v="522620dcb18a6b31cd7bdf73665113a9"/>
    <x v="0"/>
    <x v="3"/>
    <x v="0"/>
    <n v="689.89"/>
    <n v="48.68"/>
    <n v="738.57"/>
    <s v="Estimated 2018-03-09; handed to carrier 2018-02-05; no delivery recorded by end of 2018-03-18"/>
    <x v="1"/>
    <x v="0"/>
    <x v="0"/>
    <x v="0"/>
  </r>
  <r>
    <n v="203"/>
    <x v="0"/>
    <x v="0"/>
    <x v="1"/>
    <x v="1"/>
    <s v="936a199847ccb47438d3ae454d5e18d1"/>
    <d v="2018-02-02T00:00:00"/>
    <d v="2018-03-09T00:00:00"/>
    <x v="12"/>
    <d v="2018-02-08T00:00:00"/>
    <x v="0"/>
    <d v="2018-02-05T00:00:00"/>
    <x v="0"/>
    <x v="1"/>
    <x v="0"/>
    <s v="562fc2f2c2863ab7e79a9e4388a58a14"/>
    <x v="0"/>
    <x v="0"/>
    <x v="5"/>
    <n v="29.99"/>
    <n v="15.1"/>
    <n v="45.09"/>
    <s v="Estimated 2018-03-09; handed to carrier 2018-02-05; no delivery recorded by end of 2018-03-18"/>
    <x v="1"/>
    <x v="0"/>
    <x v="0"/>
    <x v="0"/>
  </r>
  <r>
    <n v="204"/>
    <x v="0"/>
    <x v="0"/>
    <x v="1"/>
    <x v="1"/>
    <s v="2e97685820b5ee3efa8b213f18899387"/>
    <d v="2018-02-02T00:00:00"/>
    <d v="2018-03-09T00:00:00"/>
    <x v="12"/>
    <d v="2018-02-08T00:00:00"/>
    <x v="0"/>
    <d v="2018-02-06T00:00:00"/>
    <x v="0"/>
    <x v="1"/>
    <x v="0"/>
    <s v="128639473a139ac0f3e5f5ade55873a5"/>
    <x v="0"/>
    <x v="3"/>
    <x v="0"/>
    <n v="18.899999999999999"/>
    <n v="42.38"/>
    <n v="61.28"/>
    <s v="Estimated 2018-03-09; handed to carrier 2018-02-06; no delivery recorded by end of 2018-03-18"/>
    <x v="1"/>
    <x v="0"/>
    <x v="0"/>
    <x v="0"/>
  </r>
  <r>
    <n v="205"/>
    <x v="0"/>
    <x v="0"/>
    <x v="0"/>
    <x v="0"/>
    <s v="1c9fd2a0749771fdb8c1cad52a3c27a6"/>
    <d v="2018-01-21T00:00:00"/>
    <d v="2018-03-09T00:00:00"/>
    <x v="12"/>
    <d v="2018-02-09T00:00:00"/>
    <x v="0"/>
    <m/>
    <x v="0"/>
    <x v="1"/>
    <x v="0"/>
    <s v="cf8ab1616079e2793aa29d524df01bb1"/>
    <x v="0"/>
    <x v="0"/>
    <x v="8"/>
    <n v="1599"/>
    <n v="84.14"/>
    <n v="1683.14"/>
    <s v="Estimated 2018-03-09; approved 2018-01-22; ship-by 2018-02-09; not handed to carrier by end of 2018-03-18"/>
    <x v="0"/>
    <x v="0"/>
    <x v="0"/>
    <x v="0"/>
  </r>
  <r>
    <n v="206"/>
    <x v="0"/>
    <x v="0"/>
    <x v="1"/>
    <x v="1"/>
    <s v="9d02a36395b93b35ec7f46d79ee3e8b9"/>
    <d v="2018-01-29T00:00:00"/>
    <d v="2018-03-09T00:00:00"/>
    <x v="12"/>
    <d v="2018-02-09T00:00:00"/>
    <x v="0"/>
    <d v="2018-02-01T00:00:00"/>
    <x v="0"/>
    <x v="1"/>
    <x v="0"/>
    <s v="ccc4bbb5f32a6ab2b7066a4130f114e3"/>
    <x v="0"/>
    <x v="3"/>
    <x v="6"/>
    <n v="349.9"/>
    <n v="48.98"/>
    <n v="398.88"/>
    <s v="Estimated 2018-03-09; handed to carrier 2018-02-01; no delivery recorded by end of 2018-03-18"/>
    <x v="1"/>
    <x v="0"/>
    <x v="0"/>
    <x v="0"/>
  </r>
  <r>
    <n v="207"/>
    <x v="0"/>
    <x v="0"/>
    <x v="1"/>
    <x v="1"/>
    <s v="a8a3eaaf155bc111acb10e0536a9e753"/>
    <d v="2018-02-07T00:00:00"/>
    <d v="2018-03-09T00:00:00"/>
    <x v="12"/>
    <d v="2018-02-14T00:00:00"/>
    <x v="0"/>
    <d v="2018-02-09T00:00:00"/>
    <x v="0"/>
    <x v="1"/>
    <x v="0"/>
    <s v="c33a5c3c983090c8b78a28e65052a20d"/>
    <x v="0"/>
    <x v="5"/>
    <x v="1"/>
    <n v="69.900000000000006"/>
    <n v="16.93"/>
    <n v="86.83"/>
    <s v="Estimated 2018-03-09; handed to carrier 2018-02-09; no delivery recorded by end of 2018-03-18"/>
    <x v="1"/>
    <x v="0"/>
    <x v="0"/>
    <x v="0"/>
  </r>
  <r>
    <n v="208"/>
    <x v="0"/>
    <x v="0"/>
    <x v="0"/>
    <x v="0"/>
    <s v="f8f45ebeb38088c44d98d201371ea345"/>
    <d v="2018-02-11T00:00:00"/>
    <d v="2018-03-09T00:00:00"/>
    <x v="12"/>
    <d v="2018-02-15T00:00:00"/>
    <x v="0"/>
    <m/>
    <x v="0"/>
    <x v="1"/>
    <x v="0"/>
    <s v="835f0f7810c76831d6c7d24c7a646d4d"/>
    <x v="0"/>
    <x v="0"/>
    <x v="2"/>
    <n v="69.900000000000006"/>
    <n v="17.739999999999998"/>
    <n v="87.64"/>
    <s v="Estimated 2018-03-09; approved 2018-02-11; ship-by 2018-02-15; not handed to carrier by end of 2018-03-18"/>
    <x v="0"/>
    <x v="0"/>
    <x v="0"/>
    <x v="0"/>
  </r>
  <r>
    <n v="209"/>
    <x v="0"/>
    <x v="0"/>
    <x v="1"/>
    <x v="1"/>
    <s v="9e5a1beaee5b0847c3254738fe668243"/>
    <d v="2018-02-09T00:00:00"/>
    <d v="2018-03-09T00:00:00"/>
    <x v="12"/>
    <d v="2018-02-15T00:00:00"/>
    <x v="0"/>
    <d v="2018-02-15T00:00:00"/>
    <x v="0"/>
    <x v="1"/>
    <x v="0"/>
    <s v="acadd4d36859671cb635527c6c977533"/>
    <x v="0"/>
    <x v="0"/>
    <x v="1"/>
    <n v="8"/>
    <n v="16.11"/>
    <n v="24.11"/>
    <s v="Estimated 2018-03-09; handed to carrier 2018-02-15; no delivery recorded by end of 2018-03-18"/>
    <x v="1"/>
    <x v="0"/>
    <x v="0"/>
    <x v="0"/>
  </r>
  <r>
    <n v="210"/>
    <x v="0"/>
    <x v="0"/>
    <x v="1"/>
    <x v="1"/>
    <s v="65109cdae10193f20ee3c0f717cb349a"/>
    <d v="2018-02-12T00:00:00"/>
    <d v="2018-03-09T00:00:00"/>
    <x v="12"/>
    <d v="2018-02-16T00:00:00"/>
    <x v="0"/>
    <d v="2018-02-15T00:00:00"/>
    <x v="0"/>
    <x v="1"/>
    <x v="0"/>
    <s v="6039e27294dc75811c0d8a39069f52c0"/>
    <x v="0"/>
    <x v="0"/>
    <x v="8"/>
    <n v="119.9"/>
    <n v="27.16"/>
    <n v="147.06"/>
    <s v="Estimated 2018-03-09; handed to carrier 2018-02-15; no delivery recorded by end of 2018-03-18"/>
    <x v="1"/>
    <x v="0"/>
    <x v="0"/>
    <x v="0"/>
  </r>
  <r>
    <n v="211"/>
    <x v="0"/>
    <x v="0"/>
    <x v="1"/>
    <x v="1"/>
    <s v="63b6bb683b45ebaf42d0979fae65ad35"/>
    <d v="2018-02-13T00:00:00"/>
    <d v="2018-03-09T00:00:00"/>
    <x v="12"/>
    <d v="2018-02-19T00:00:00"/>
    <x v="0"/>
    <d v="2018-02-14T00:00:00"/>
    <x v="0"/>
    <x v="1"/>
    <x v="0"/>
    <s v="1464afc72f696af775557a821c2e253f"/>
    <x v="0"/>
    <x v="4"/>
    <x v="3"/>
    <n v="42.9"/>
    <n v="15.1"/>
    <n v="58"/>
    <s v="Estimated 2018-03-09; handed to carrier 2018-02-14; no delivery recorded by end of 2018-03-18"/>
    <x v="1"/>
    <x v="0"/>
    <x v="0"/>
    <x v="0"/>
  </r>
  <r>
    <n v="212"/>
    <x v="0"/>
    <x v="0"/>
    <x v="1"/>
    <x v="1"/>
    <s v="47e61b8ad8a1bb1dff9371cebc4c0637"/>
    <d v="2018-02-14T00:00:00"/>
    <d v="2018-03-09T00:00:00"/>
    <x v="12"/>
    <d v="2018-02-20T00:00:00"/>
    <x v="0"/>
    <d v="2018-02-15T00:00:00"/>
    <x v="0"/>
    <x v="1"/>
    <x v="0"/>
    <s v="4869f7a5dfa277a7dca6462dcf3b52b2"/>
    <x v="0"/>
    <x v="0"/>
    <x v="1"/>
    <n v="349"/>
    <n v="17.190000000000001"/>
    <n v="366.19"/>
    <s v="Estimated 2018-03-09; handed to carrier 2018-02-15; no delivery recorded by end of 2018-03-18"/>
    <x v="1"/>
    <x v="0"/>
    <x v="0"/>
    <x v="0"/>
  </r>
  <r>
    <n v="213"/>
    <x v="0"/>
    <x v="0"/>
    <x v="1"/>
    <x v="1"/>
    <s v="63fd40b25ac9dbeea8ec6b26558a1add"/>
    <d v="2018-02-11T00:00:00"/>
    <d v="2018-03-09T00:00:00"/>
    <x v="12"/>
    <d v="2018-02-20T00:00:00"/>
    <x v="0"/>
    <d v="2018-02-14T00:00:00"/>
    <x v="0"/>
    <x v="1"/>
    <x v="0"/>
    <s v="d50d79cb34e38265a8649c383dcffd48"/>
    <x v="0"/>
    <x v="0"/>
    <x v="1"/>
    <n v="227.99"/>
    <n v="50.34"/>
    <n v="278.33"/>
    <s v="Estimated 2018-03-09; handed to carrier 2018-02-14; no delivery recorded by end of 2018-03-18"/>
    <x v="1"/>
    <x v="0"/>
    <x v="0"/>
    <x v="0"/>
  </r>
  <r>
    <n v="214"/>
    <x v="0"/>
    <x v="0"/>
    <x v="1"/>
    <x v="1"/>
    <s v="e7dfe42bb50a6acce37e168e44260a51"/>
    <d v="2018-02-14T00:00:00"/>
    <d v="2018-03-09T00:00:00"/>
    <x v="12"/>
    <d v="2018-02-20T00:00:00"/>
    <x v="0"/>
    <d v="2018-02-14T00:00:00"/>
    <x v="0"/>
    <x v="1"/>
    <x v="0"/>
    <s v="8d956fec2e4337affcb520f56fd8cbfd"/>
    <x v="0"/>
    <x v="0"/>
    <x v="7"/>
    <n v="26.99"/>
    <n v="14.1"/>
    <n v="41.09"/>
    <s v="Estimated 2018-03-09; handed to carrier 2018-02-14; no delivery recorded by end of 2018-03-18"/>
    <x v="1"/>
    <x v="0"/>
    <x v="0"/>
    <x v="0"/>
  </r>
  <r>
    <n v="215"/>
    <x v="0"/>
    <x v="0"/>
    <x v="1"/>
    <x v="1"/>
    <s v="a75f828f8272cec810f1fc3ec8e88964"/>
    <d v="2018-02-15T00:00:00"/>
    <d v="2018-03-09T00:00:00"/>
    <x v="12"/>
    <d v="2018-02-21T00:00:00"/>
    <x v="0"/>
    <d v="2018-02-16T00:00:00"/>
    <x v="0"/>
    <x v="1"/>
    <x v="0"/>
    <s v="8581055ce74af1daba164fdbd55a40de"/>
    <x v="0"/>
    <x v="0"/>
    <x v="3"/>
    <n v="143.80000000000001"/>
    <n v="19.89"/>
    <n v="163.69"/>
    <s v="Estimated 2018-03-09; handed to carrier 2018-02-16; no delivery recorded by end of 2018-03-18"/>
    <x v="1"/>
    <x v="0"/>
    <x v="0"/>
    <x v="0"/>
  </r>
  <r>
    <n v="216"/>
    <x v="0"/>
    <x v="0"/>
    <x v="1"/>
    <x v="1"/>
    <s v="3aaee056441dcae251f360b1c71a7279"/>
    <d v="2018-02-16T00:00:00"/>
    <d v="2018-03-09T00:00:00"/>
    <x v="12"/>
    <d v="2018-02-21T00:00:00"/>
    <x v="0"/>
    <d v="2018-02-20T00:00:00"/>
    <x v="0"/>
    <x v="1"/>
    <x v="0"/>
    <s v="c826c40d7b19f62a09e2d7c5e7295ee2"/>
    <x v="0"/>
    <x v="0"/>
    <x v="3"/>
    <n v="122.99"/>
    <n v="12.36"/>
    <n v="135.35"/>
    <s v="Estimated 2018-03-09; handed to carrier 2018-02-20; no delivery recorded by end of 2018-03-18"/>
    <x v="1"/>
    <x v="0"/>
    <x v="0"/>
    <x v="0"/>
  </r>
  <r>
    <n v="217"/>
    <x v="0"/>
    <x v="0"/>
    <x v="1"/>
    <x v="1"/>
    <s v="8d171a848151e69e8f090fdbb50d4010"/>
    <d v="2018-02-13T00:00:00"/>
    <d v="2018-03-09T00:00:00"/>
    <x v="12"/>
    <d v="2018-02-21T00:00:00"/>
    <x v="0"/>
    <d v="2018-02-16T00:00:00"/>
    <x v="0"/>
    <x v="1"/>
    <x v="0"/>
    <s v="4a3ca9315b744ce9f8e9374361493884"/>
    <x v="0"/>
    <x v="0"/>
    <x v="2"/>
    <n v="86.9"/>
    <n v="21.1"/>
    <n v="108"/>
    <s v="Estimated 2018-03-09; handed to carrier 2018-02-16; no delivery recorded by end of 2018-03-18"/>
    <x v="1"/>
    <x v="0"/>
    <x v="0"/>
    <x v="0"/>
  </r>
  <r>
    <n v="218"/>
    <x v="0"/>
    <x v="0"/>
    <x v="1"/>
    <x v="1"/>
    <s v="656deadecd45f4e75686a2ae1adaaac5"/>
    <d v="2018-02-15T00:00:00"/>
    <d v="2018-03-09T00:00:00"/>
    <x v="12"/>
    <d v="2018-02-21T00:00:00"/>
    <x v="0"/>
    <d v="2018-02-19T00:00:00"/>
    <x v="0"/>
    <x v="1"/>
    <x v="0"/>
    <s v="fa40cc5b934574b62717c68f3d678b6d"/>
    <x v="0"/>
    <x v="0"/>
    <x v="1"/>
    <n v="44.9"/>
    <n v="15.1"/>
    <n v="60"/>
    <s v="Estimated 2018-03-09; handed to carrier 2018-02-19; no delivery recorded by end of 2018-03-18"/>
    <x v="1"/>
    <x v="0"/>
    <x v="0"/>
    <x v="0"/>
  </r>
  <r>
    <n v="219"/>
    <x v="0"/>
    <x v="0"/>
    <x v="1"/>
    <x v="1"/>
    <s v="a50f9f0c6dc14bdf95d5621a5bd6b80b"/>
    <d v="2018-02-15T00:00:00"/>
    <d v="2018-03-09T00:00:00"/>
    <x v="12"/>
    <d v="2018-02-21T00:00:00"/>
    <x v="0"/>
    <d v="2018-02-16T00:00:00"/>
    <x v="0"/>
    <x v="2"/>
    <x v="0"/>
    <s v="2c9e548be18521d1c43cde1c582c6de8"/>
    <x v="0"/>
    <x v="0"/>
    <x v="9"/>
    <n v="25.98"/>
    <n v="28.2"/>
    <n v="54.18"/>
    <s v="Estimated 2018-03-09; handed to carrier 2018-02-16; no delivery recorded by end of 2018-03-18"/>
    <x v="1"/>
    <x v="0"/>
    <x v="0"/>
    <x v="0"/>
  </r>
  <r>
    <n v="220"/>
    <x v="0"/>
    <x v="0"/>
    <x v="1"/>
    <x v="1"/>
    <s v="51c3d73e0e905225319f9ae8b56837fb"/>
    <d v="2018-02-17T00:00:00"/>
    <d v="2018-03-09T00:00:00"/>
    <x v="12"/>
    <d v="2018-02-22T00:00:00"/>
    <x v="0"/>
    <d v="2018-02-19T00:00:00"/>
    <x v="0"/>
    <x v="1"/>
    <x v="0"/>
    <s v="b33e7c55446eabf8fe1a42d037ac7d6d"/>
    <x v="0"/>
    <x v="0"/>
    <x v="3"/>
    <n v="146.91999999999999"/>
    <n v="12.53"/>
    <n v="159.44999999999999"/>
    <s v="Estimated 2018-03-09; handed to carrier 2018-02-19; no delivery recorded by end of 2018-03-18"/>
    <x v="1"/>
    <x v="0"/>
    <x v="0"/>
    <x v="0"/>
  </r>
  <r>
    <n v="221"/>
    <x v="0"/>
    <x v="0"/>
    <x v="1"/>
    <x v="1"/>
    <s v="097c2a2e5ea719c510238bad5d902cef"/>
    <d v="2018-02-09T00:00:00"/>
    <d v="2018-03-09T00:00:00"/>
    <x v="12"/>
    <d v="2018-02-22T00:00:00"/>
    <x v="0"/>
    <d v="2018-02-15T00:00:00"/>
    <x v="0"/>
    <x v="1"/>
    <x v="0"/>
    <s v="218d46b86c1881d022bce9c68a7d4b15"/>
    <x v="0"/>
    <x v="0"/>
    <x v="2"/>
    <n v="117"/>
    <n v="15.57"/>
    <n v="132.57"/>
    <s v="Estimated 2018-03-09; handed to carrier 2018-02-15; no delivery recorded by end of 2018-03-18"/>
    <x v="1"/>
    <x v="0"/>
    <x v="0"/>
    <x v="0"/>
  </r>
  <r>
    <n v="222"/>
    <x v="0"/>
    <x v="0"/>
    <x v="1"/>
    <x v="1"/>
    <s v="e117f2d33b09b76b46edadbd2ca908a7"/>
    <d v="2018-02-18T00:00:00"/>
    <d v="2018-03-09T00:00:00"/>
    <x v="12"/>
    <d v="2018-02-22T00:00:00"/>
    <x v="0"/>
    <d v="2018-02-20T00:00:00"/>
    <x v="0"/>
    <x v="1"/>
    <x v="0"/>
    <s v="8b28d096634035667e8263d57ba3368c"/>
    <x v="0"/>
    <x v="0"/>
    <x v="3"/>
    <n v="99.9"/>
    <n v="13.72"/>
    <n v="113.62"/>
    <s v="Estimated 2018-03-09; handed to carrier 2018-02-20; no delivery recorded by end of 2018-03-18"/>
    <x v="1"/>
    <x v="0"/>
    <x v="0"/>
    <x v="0"/>
  </r>
  <r>
    <n v="223"/>
    <x v="0"/>
    <x v="0"/>
    <x v="1"/>
    <x v="1"/>
    <s v="a4c7457da912c852dfb94cca5f35603a"/>
    <d v="2018-02-12T00:00:00"/>
    <d v="2018-03-09T00:00:00"/>
    <x v="12"/>
    <d v="2018-02-22T00:00:00"/>
    <x v="0"/>
    <d v="2018-02-16T00:00:00"/>
    <x v="0"/>
    <x v="1"/>
    <x v="0"/>
    <s v="2e90cb1677d35cfe24eef47d441b7c87"/>
    <x v="0"/>
    <x v="0"/>
    <x v="8"/>
    <n v="97.9"/>
    <n v="17.940000000000001"/>
    <n v="115.84"/>
    <s v="Estimated 2018-03-09; handed to carrier 2018-02-16; no delivery recorded by end of 2018-03-18"/>
    <x v="1"/>
    <x v="0"/>
    <x v="0"/>
    <x v="0"/>
  </r>
  <r>
    <n v="224"/>
    <x v="0"/>
    <x v="0"/>
    <x v="1"/>
    <x v="1"/>
    <s v="1bf4871c57b8284ca1dfa1a02ad278c6"/>
    <d v="2018-02-18T00:00:00"/>
    <d v="2018-03-09T00:00:00"/>
    <x v="12"/>
    <d v="2018-02-22T00:00:00"/>
    <x v="0"/>
    <d v="2018-03-02T00:00:00"/>
    <x v="0"/>
    <x v="1"/>
    <x v="0"/>
    <s v="d20b021d3efdf267a402c402a48ea64b"/>
    <x v="0"/>
    <x v="0"/>
    <x v="3"/>
    <n v="79.989999999999995"/>
    <n v="13.58"/>
    <n v="93.57"/>
    <s v="Estimated 2018-03-09; handed to carrier 2018-03-02; no delivery recorded by end of 2018-03-18"/>
    <x v="1"/>
    <x v="0"/>
    <x v="0"/>
    <x v="0"/>
  </r>
  <r>
    <n v="225"/>
    <x v="0"/>
    <x v="0"/>
    <x v="1"/>
    <x v="1"/>
    <s v="0fb5213e64d1cc9bbd3be70f3d35bf27"/>
    <d v="2018-02-16T00:00:00"/>
    <d v="2018-03-09T00:00:00"/>
    <x v="12"/>
    <d v="2018-02-22T00:00:00"/>
    <x v="0"/>
    <d v="2018-02-20T00:00:00"/>
    <x v="0"/>
    <x v="1"/>
    <x v="0"/>
    <s v="1835b56ce799e6a4dc4eddc053f04066"/>
    <x v="0"/>
    <x v="0"/>
    <x v="1"/>
    <n v="56.99"/>
    <n v="16.16"/>
    <n v="73.150000000000006"/>
    <s v="Estimated 2018-03-09; handed to carrier 2018-02-20; no delivery recorded by end of 2018-03-18"/>
    <x v="1"/>
    <x v="0"/>
    <x v="0"/>
    <x v="0"/>
  </r>
  <r>
    <n v="226"/>
    <x v="0"/>
    <x v="0"/>
    <x v="1"/>
    <x v="1"/>
    <s v="6d335a14529f4ffa4219793d5b5a9772"/>
    <d v="2018-02-16T00:00:00"/>
    <d v="2018-03-09T00:00:00"/>
    <x v="12"/>
    <d v="2018-02-22T00:00:00"/>
    <x v="0"/>
    <d v="2018-02-20T00:00:00"/>
    <x v="0"/>
    <x v="1"/>
    <x v="0"/>
    <s v="b499c00f28f4b7069ff6550af8c1348a"/>
    <x v="0"/>
    <x v="0"/>
    <x v="1"/>
    <n v="29.99"/>
    <n v="15.1"/>
    <n v="45.09"/>
    <s v="Estimated 2018-03-09; handed to carrier 2018-02-20; no delivery recorded by end of 2018-03-18"/>
    <x v="1"/>
    <x v="0"/>
    <x v="0"/>
    <x v="0"/>
  </r>
  <r>
    <n v="227"/>
    <x v="0"/>
    <x v="0"/>
    <x v="1"/>
    <x v="1"/>
    <s v="cafe1030b50f6fbe232a1532e95c89a6"/>
    <d v="2018-02-19T00:00:00"/>
    <d v="2018-03-09T00:00:00"/>
    <x v="12"/>
    <d v="2018-02-23T00:00:00"/>
    <x v="0"/>
    <d v="2018-02-22T00:00:00"/>
    <x v="0"/>
    <x v="1"/>
    <x v="0"/>
    <s v="f262cbc1c910c83959f849465454ddd3"/>
    <x v="0"/>
    <x v="0"/>
    <x v="2"/>
    <n v="104.97"/>
    <n v="14.48"/>
    <n v="119.45"/>
    <s v="Estimated 2018-03-09; handed to carrier 2018-02-22; no delivery recorded by end of 2018-03-18"/>
    <x v="1"/>
    <x v="0"/>
    <x v="0"/>
    <x v="0"/>
  </r>
  <r>
    <n v="228"/>
    <x v="0"/>
    <x v="0"/>
    <x v="1"/>
    <x v="1"/>
    <s v="0b8558ffb8ef05e5abef8d7bf4a95884"/>
    <d v="2018-02-19T00:00:00"/>
    <d v="2018-03-09T00:00:00"/>
    <x v="12"/>
    <d v="2018-02-23T00:00:00"/>
    <x v="0"/>
    <d v="2018-02-20T00:00:00"/>
    <x v="0"/>
    <x v="1"/>
    <x v="0"/>
    <s v="2e1c9f22be269ef4643f826c9e650a52"/>
    <x v="0"/>
    <x v="0"/>
    <x v="1"/>
    <n v="72.489999999999995"/>
    <n v="16.760000000000002"/>
    <n v="89.25"/>
    <s v="Estimated 2018-03-09; handed to carrier 2018-02-20; no delivery recorded by end of 2018-03-18"/>
    <x v="1"/>
    <x v="0"/>
    <x v="0"/>
    <x v="0"/>
  </r>
  <r>
    <n v="229"/>
    <x v="0"/>
    <x v="0"/>
    <x v="0"/>
    <x v="0"/>
    <s v="9bcddf79e9ba13cbf6c32e0916bd42d7"/>
    <d v="2018-02-19T00:00:00"/>
    <d v="2018-03-09T00:00:00"/>
    <x v="12"/>
    <d v="2018-02-23T00:00:00"/>
    <x v="0"/>
    <m/>
    <x v="0"/>
    <x v="1"/>
    <x v="0"/>
    <s v="3078096983cf766a32a06257648502d1"/>
    <x v="0"/>
    <x v="0"/>
    <x v="3"/>
    <n v="49.99"/>
    <n v="12.69"/>
    <n v="62.68"/>
    <s v="Estimated 2018-03-09; approved 2018-02-19; ship-by 2018-02-23; not handed to carrier by end of 2018-03-18"/>
    <x v="0"/>
    <x v="0"/>
    <x v="0"/>
    <x v="0"/>
  </r>
  <r>
    <n v="230"/>
    <x v="0"/>
    <x v="0"/>
    <x v="1"/>
    <x v="1"/>
    <s v="1950d777989f6a877539f53795b4c3c3"/>
    <d v="2018-02-19T00:00:00"/>
    <d v="2018-03-09T00:00:00"/>
    <x v="12"/>
    <d v="2018-02-23T00:00:00"/>
    <x v="0"/>
    <d v="2018-02-20T00:00:00"/>
    <x v="0"/>
    <x v="1"/>
    <x v="0"/>
    <s v="2a61c271b1ac763450d846849783e922"/>
    <x v="0"/>
    <x v="0"/>
    <x v="2"/>
    <n v="29.99"/>
    <n v="14.1"/>
    <n v="44.09"/>
    <s v="Estimated 2018-03-09; handed to carrier 2018-02-20; no delivery recorded by end of 2018-03-18"/>
    <x v="1"/>
    <x v="0"/>
    <x v="0"/>
    <x v="0"/>
  </r>
  <r>
    <n v="231"/>
    <x v="0"/>
    <x v="0"/>
    <x v="0"/>
    <x v="0"/>
    <s v="aa7c3f20fab2d3cb0f76ab5165e47618"/>
    <d v="2018-02-15T00:00:00"/>
    <d v="2018-03-09T00:00:00"/>
    <x v="12"/>
    <d v="2018-02-23T00:00:00"/>
    <x v="0"/>
    <m/>
    <x v="0"/>
    <x v="1"/>
    <x v="0"/>
    <s v="718539d38d07dd351c76db862760e2e2"/>
    <x v="0"/>
    <x v="0"/>
    <x v="1"/>
    <n v="19.989999999999998"/>
    <n v="15.11"/>
    <n v="35.1"/>
    <s v="Estimated 2018-03-09; approved 2018-02-15; ship-by 2018-02-23; not handed to carrier by end of 2018-03-18"/>
    <x v="0"/>
    <x v="0"/>
    <x v="0"/>
    <x v="0"/>
  </r>
  <r>
    <n v="232"/>
    <x v="0"/>
    <x v="0"/>
    <x v="1"/>
    <x v="1"/>
    <s v="ac1de8fa694be661c516f1df6cd72a24"/>
    <d v="2018-02-19T00:00:00"/>
    <d v="2018-03-09T00:00:00"/>
    <x v="12"/>
    <d v="2018-02-26T00:00:00"/>
    <x v="0"/>
    <d v="2018-02-26T00:00:00"/>
    <x v="0"/>
    <x v="1"/>
    <x v="0"/>
    <s v="8b321bb669392f5163d04c59e235e066"/>
    <x v="0"/>
    <x v="0"/>
    <x v="3"/>
    <n v="18.899999999999999"/>
    <n v="11.85"/>
    <n v="30.75"/>
    <s v="Estimated 2018-03-09; handed to carrier 2018-02-26; no delivery recorded by end of 2018-03-18"/>
    <x v="1"/>
    <x v="0"/>
    <x v="0"/>
    <x v="0"/>
  </r>
  <r>
    <n v="233"/>
    <x v="0"/>
    <x v="0"/>
    <x v="1"/>
    <x v="1"/>
    <s v="b8752fc264f1692031237bb715061cc4"/>
    <d v="2018-02-22T00:00:00"/>
    <d v="2018-03-09T00:00:00"/>
    <x v="12"/>
    <d v="2018-02-28T00:00:00"/>
    <x v="0"/>
    <d v="2018-02-23T00:00:00"/>
    <x v="0"/>
    <x v="1"/>
    <x v="0"/>
    <s v="620c87c171fb2a6dd6e8bb4dec959fc6"/>
    <x v="0"/>
    <x v="4"/>
    <x v="1"/>
    <n v="59.9"/>
    <n v="8.27"/>
    <n v="68.17"/>
    <s v="Estimated 2018-03-09; handed to carrier 2018-02-23; no delivery recorded by end of 2018-03-18"/>
    <x v="1"/>
    <x v="0"/>
    <x v="0"/>
    <x v="0"/>
  </r>
  <r>
    <n v="234"/>
    <x v="0"/>
    <x v="0"/>
    <x v="0"/>
    <x v="0"/>
    <s v="ee8e24472be0999597648d72577ae895"/>
    <d v="2018-02-11T00:00:00"/>
    <d v="2018-03-09T00:00:00"/>
    <x v="12"/>
    <m/>
    <x v="0"/>
    <m/>
    <x v="0"/>
    <x v="3"/>
    <x v="1"/>
    <s v=""/>
    <x v="1"/>
    <x v="2"/>
    <x v="3"/>
    <n v="0"/>
    <n v="0"/>
    <n v="51.68"/>
    <s v=""/>
    <x v="0"/>
    <x v="0"/>
    <x v="0"/>
    <x v="0"/>
  </r>
  <r>
    <n v="235"/>
    <x v="1"/>
    <x v="0"/>
    <x v="1"/>
    <x v="1"/>
    <s v="2c0032906c603dcc21cd954828fa77d0"/>
    <d v="2018-02-06T00:00:00"/>
    <d v="2018-03-12T00:00:00"/>
    <x v="13"/>
    <d v="2018-02-12T00:00:00"/>
    <x v="0"/>
    <d v="2018-02-16T00:00:00"/>
    <x v="1"/>
    <x v="1"/>
    <x v="0"/>
    <s v="c1ed9e3daf6154542826a6996af0fb8c"/>
    <x v="0"/>
    <x v="5"/>
    <x v="12"/>
    <n v="213.75"/>
    <n v="36.82"/>
    <n v="250.57"/>
    <s v="Estimated 2018-03-12; handed to carrier 2018-02-16; no delivery recorded by end of 2018-03-18"/>
    <x v="1"/>
    <x v="0"/>
    <x v="0"/>
    <x v="0"/>
  </r>
  <r>
    <n v="236"/>
    <x v="1"/>
    <x v="0"/>
    <x v="1"/>
    <x v="1"/>
    <s v="d129a390b12dad8097fca575b31aba6c"/>
    <d v="2018-02-06T00:00:00"/>
    <d v="2018-03-12T00:00:00"/>
    <x v="13"/>
    <d v="2018-02-12T00:00:00"/>
    <x v="0"/>
    <d v="2018-02-06T00:00:00"/>
    <x v="1"/>
    <x v="1"/>
    <x v="0"/>
    <s v="655220df33262c7e0c4949a147366f94"/>
    <x v="0"/>
    <x v="0"/>
    <x v="0"/>
    <n v="139"/>
    <n v="59.14"/>
    <n v="198.14"/>
    <s v="Estimated 2018-03-12; handed to carrier 2018-02-06; no delivery recorded by end of 2018-03-18"/>
    <x v="1"/>
    <x v="0"/>
    <x v="0"/>
    <x v="0"/>
  </r>
  <r>
    <n v="237"/>
    <x v="1"/>
    <x v="0"/>
    <x v="1"/>
    <x v="1"/>
    <s v="44918cef2a112fc3f8e4a9b676e5ab23"/>
    <d v="2018-02-06T00:00:00"/>
    <d v="2018-03-12T00:00:00"/>
    <x v="13"/>
    <d v="2018-02-12T00:00:00"/>
    <x v="0"/>
    <d v="2018-02-07T00:00:00"/>
    <x v="1"/>
    <x v="1"/>
    <x v="0"/>
    <s v="ac3508719a1d8f5b7614b798f70af136"/>
    <x v="0"/>
    <x v="8"/>
    <x v="3"/>
    <n v="109.9"/>
    <n v="15.53"/>
    <n v="125.43"/>
    <s v="Estimated 2018-03-12; handed to carrier 2018-02-07; no delivery recorded by end of 2018-03-18"/>
    <x v="1"/>
    <x v="0"/>
    <x v="0"/>
    <x v="0"/>
  </r>
  <r>
    <n v="238"/>
    <x v="1"/>
    <x v="0"/>
    <x v="1"/>
    <x v="1"/>
    <s v="ca3b58af42b9daa0734a85b70fefb260"/>
    <d v="2018-02-07T00:00:00"/>
    <d v="2018-03-12T00:00:00"/>
    <x v="13"/>
    <d v="2018-02-13T00:00:00"/>
    <x v="0"/>
    <d v="2018-02-07T00:00:00"/>
    <x v="1"/>
    <x v="1"/>
    <x v="0"/>
    <s v="7a67c85e85bb2ce8582c35f2203ad736"/>
    <x v="0"/>
    <x v="0"/>
    <x v="6"/>
    <n v="229.99"/>
    <n v="34.06"/>
    <n v="264.05"/>
    <s v="Estimated 2018-03-12; handed to carrier 2018-02-07; no delivery recorded by end of 2018-03-18"/>
    <x v="1"/>
    <x v="0"/>
    <x v="0"/>
    <x v="0"/>
  </r>
  <r>
    <n v="239"/>
    <x v="1"/>
    <x v="0"/>
    <x v="1"/>
    <x v="1"/>
    <s v="66684ab29bf699746bbe69ca21dcedf5"/>
    <d v="2018-02-07T00:00:00"/>
    <d v="2018-03-12T00:00:00"/>
    <x v="13"/>
    <d v="2018-02-13T00:00:00"/>
    <x v="0"/>
    <d v="2018-03-01T00:00:00"/>
    <x v="1"/>
    <x v="1"/>
    <x v="0"/>
    <s v="76d5af76d0271110f9af36c92573f765"/>
    <x v="0"/>
    <x v="0"/>
    <x v="8"/>
    <n v="29.9"/>
    <n v="17.600000000000001"/>
    <n v="47.5"/>
    <s v="Estimated 2018-03-12; handed to carrier 2018-03-01; no delivery recorded by end of 2018-03-18"/>
    <x v="1"/>
    <x v="0"/>
    <x v="0"/>
    <x v="0"/>
  </r>
  <r>
    <n v="240"/>
    <x v="1"/>
    <x v="0"/>
    <x v="1"/>
    <x v="1"/>
    <s v="66dbde751178d7674bd09f18b6d25006"/>
    <d v="2018-02-05T00:00:00"/>
    <d v="2018-03-12T00:00:00"/>
    <x v="13"/>
    <d v="2018-02-14T00:00:00"/>
    <x v="0"/>
    <d v="2018-02-07T00:00:00"/>
    <x v="1"/>
    <x v="1"/>
    <x v="0"/>
    <s v="3d871de0142ce09b7081e2b9d1733cb1"/>
    <x v="0"/>
    <x v="0"/>
    <x v="18"/>
    <n v="79"/>
    <n v="38.1"/>
    <n v="117.1"/>
    <s v="Estimated 2018-03-12; handed to carrier 2018-02-07; no delivery recorded by end of 2018-03-18"/>
    <x v="1"/>
    <x v="0"/>
    <x v="0"/>
    <x v="0"/>
  </r>
  <r>
    <n v="241"/>
    <x v="1"/>
    <x v="0"/>
    <x v="1"/>
    <x v="1"/>
    <s v="55b2ad4123def9f023f3196c460badca"/>
    <d v="2018-02-13T00:00:00"/>
    <d v="2018-03-12T00:00:00"/>
    <x v="13"/>
    <d v="2018-02-19T00:00:00"/>
    <x v="0"/>
    <d v="2018-02-14T00:00:00"/>
    <x v="1"/>
    <x v="1"/>
    <x v="0"/>
    <s v="01fdefa7697d26ad920e9e0346d4bd1b"/>
    <x v="0"/>
    <x v="3"/>
    <x v="1"/>
    <n v="119.9"/>
    <n v="20.079999999999998"/>
    <n v="139.97999999999999"/>
    <s v="Estimated 2018-03-12; handed to carrier 2018-02-14; no delivery recorded by end of 2018-03-18"/>
    <x v="1"/>
    <x v="0"/>
    <x v="0"/>
    <x v="0"/>
  </r>
  <r>
    <n v="242"/>
    <x v="1"/>
    <x v="0"/>
    <x v="1"/>
    <x v="1"/>
    <s v="d9237a626ce181c849177a05d3e863f2"/>
    <d v="2018-02-13T00:00:00"/>
    <d v="2018-03-12T00:00:00"/>
    <x v="13"/>
    <d v="2018-02-19T00:00:00"/>
    <x v="0"/>
    <d v="2018-02-14T00:00:00"/>
    <x v="1"/>
    <x v="1"/>
    <x v="0"/>
    <s v="128639473a139ac0f3e5f5ade55873a5"/>
    <x v="0"/>
    <x v="3"/>
    <x v="8"/>
    <n v="19.899999999999999"/>
    <n v="15.1"/>
    <n v="35"/>
    <s v="Estimated 2018-03-12; handed to carrier 2018-02-14; no delivery recorded by end of 2018-03-18"/>
    <x v="1"/>
    <x v="0"/>
    <x v="0"/>
    <x v="0"/>
  </r>
  <r>
    <n v="243"/>
    <x v="1"/>
    <x v="0"/>
    <x v="1"/>
    <x v="1"/>
    <s v="119db78602ec4f8cdb8aa475c1fbf655"/>
    <d v="2018-02-13T00:00:00"/>
    <d v="2018-03-12T00:00:00"/>
    <x v="13"/>
    <d v="2018-02-20T00:00:00"/>
    <x v="0"/>
    <d v="2018-02-14T00:00:00"/>
    <x v="1"/>
    <x v="1"/>
    <x v="0"/>
    <s v="4869f7a5dfa277a7dca6462dcf3b52b2"/>
    <x v="0"/>
    <x v="0"/>
    <x v="9"/>
    <n v="199"/>
    <n v="16.14"/>
    <n v="215.14"/>
    <s v="Estimated 2018-03-12; handed to carrier 2018-02-14; no delivery recorded by end of 2018-03-18"/>
    <x v="1"/>
    <x v="0"/>
    <x v="0"/>
    <x v="0"/>
  </r>
  <r>
    <n v="244"/>
    <x v="1"/>
    <x v="0"/>
    <x v="1"/>
    <x v="1"/>
    <s v="0da1e80855b93d954fd8f95c571cb191"/>
    <d v="2018-02-14T00:00:00"/>
    <d v="2018-03-12T00:00:00"/>
    <x v="13"/>
    <d v="2018-02-20T00:00:00"/>
    <x v="0"/>
    <d v="2018-02-15T00:00:00"/>
    <x v="1"/>
    <x v="1"/>
    <x v="0"/>
    <s v="070d165398b553f3b4b851c216b8a358"/>
    <x v="0"/>
    <x v="0"/>
    <x v="2"/>
    <n v="109.99"/>
    <n v="16.53"/>
    <n v="126.52"/>
    <s v="Estimated 2018-03-12; handed to carrier 2018-02-15; no delivery recorded by end of 2018-03-18"/>
    <x v="1"/>
    <x v="0"/>
    <x v="0"/>
    <x v="0"/>
  </r>
  <r>
    <n v="245"/>
    <x v="1"/>
    <x v="0"/>
    <x v="1"/>
    <x v="1"/>
    <s v="4c33f92b62a822db77b38b88bc7ad237"/>
    <d v="2018-02-12T00:00:00"/>
    <d v="2018-03-12T00:00:00"/>
    <x v="13"/>
    <d v="2018-02-20T00:00:00"/>
    <x v="0"/>
    <d v="2018-02-16T00:00:00"/>
    <x v="1"/>
    <x v="1"/>
    <x v="0"/>
    <s v="3b15288545f8928d3e65a8f949a28291"/>
    <x v="0"/>
    <x v="0"/>
    <x v="1"/>
    <n v="59.99"/>
    <n v="17.670000000000002"/>
    <n v="77.66"/>
    <s v="Estimated 2018-03-12; handed to carrier 2018-02-16; no delivery recorded by end of 2018-03-18"/>
    <x v="1"/>
    <x v="0"/>
    <x v="0"/>
    <x v="0"/>
  </r>
  <r>
    <n v="246"/>
    <x v="1"/>
    <x v="0"/>
    <x v="1"/>
    <x v="1"/>
    <s v="efb9ad1c5eb60ac2a3565723d18230fd"/>
    <d v="2018-02-15T00:00:00"/>
    <d v="2018-03-12T00:00:00"/>
    <x v="13"/>
    <d v="2018-02-21T00:00:00"/>
    <x v="0"/>
    <d v="2018-02-21T00:00:00"/>
    <x v="1"/>
    <x v="1"/>
    <x v="0"/>
    <s v="3d871de0142ce09b7081e2b9d1733cb1"/>
    <x v="0"/>
    <x v="0"/>
    <x v="1"/>
    <n v="169"/>
    <n v="18.43"/>
    <n v="187.43"/>
    <s v="Estimated 2018-03-12; handed to carrier 2018-02-21; no delivery recorded by end of 2018-03-18"/>
    <x v="1"/>
    <x v="0"/>
    <x v="0"/>
    <x v="0"/>
  </r>
  <r>
    <n v="247"/>
    <x v="1"/>
    <x v="0"/>
    <x v="1"/>
    <x v="1"/>
    <s v="8880e2d4468f5aae8e21b63115ce635f"/>
    <d v="2018-02-15T00:00:00"/>
    <d v="2018-03-12T00:00:00"/>
    <x v="13"/>
    <d v="2018-02-21T00:00:00"/>
    <x v="0"/>
    <d v="2018-02-16T00:00:00"/>
    <x v="1"/>
    <x v="1"/>
    <x v="0"/>
    <s v="77530e9772f57a62c906e1c21538ab82"/>
    <x v="0"/>
    <x v="3"/>
    <x v="17"/>
    <n v="59.9"/>
    <n v="18.96"/>
    <n v="78.86"/>
    <s v="Estimated 2018-03-12; handed to carrier 2018-02-16; no delivery recorded by end of 2018-03-18"/>
    <x v="1"/>
    <x v="0"/>
    <x v="0"/>
    <x v="0"/>
  </r>
  <r>
    <n v="248"/>
    <x v="1"/>
    <x v="0"/>
    <x v="1"/>
    <x v="1"/>
    <s v="059511087f2394ebd55a674537a7c2cc"/>
    <d v="2018-02-14T00:00:00"/>
    <d v="2018-03-12T00:00:00"/>
    <x v="13"/>
    <d v="2018-02-22T00:00:00"/>
    <x v="0"/>
    <d v="2018-02-21T00:00:00"/>
    <x v="1"/>
    <x v="2"/>
    <x v="0"/>
    <s v="6524b847b982cd56bb5d4b02b776ee42"/>
    <x v="0"/>
    <x v="0"/>
    <x v="10"/>
    <n v="779.8"/>
    <n v="55.14"/>
    <n v="834.94"/>
    <s v="Estimated 2018-03-12; handed to carrier 2018-02-21; no delivery recorded by end of 2018-03-18"/>
    <x v="1"/>
    <x v="0"/>
    <x v="0"/>
    <x v="0"/>
  </r>
  <r>
    <n v="249"/>
    <x v="1"/>
    <x v="0"/>
    <x v="1"/>
    <x v="1"/>
    <s v="a7d5e53a5efe34103e6b5b67c497c2fa"/>
    <d v="2018-02-16T00:00:00"/>
    <d v="2018-03-12T00:00:00"/>
    <x v="13"/>
    <d v="2018-02-22T00:00:00"/>
    <x v="0"/>
    <d v="2018-02-23T00:00:00"/>
    <x v="1"/>
    <x v="1"/>
    <x v="0"/>
    <s v="de722cd6dad950a92b7d4f82673f8833"/>
    <x v="0"/>
    <x v="9"/>
    <x v="3"/>
    <n v="149.9"/>
    <n v="23.37"/>
    <n v="173.27"/>
    <s v="Estimated 2018-03-12; handed to carrier 2018-02-23; no delivery recorded by end of 2018-03-18"/>
    <x v="1"/>
    <x v="0"/>
    <x v="0"/>
    <x v="0"/>
  </r>
  <r>
    <n v="250"/>
    <x v="1"/>
    <x v="0"/>
    <x v="1"/>
    <x v="1"/>
    <s v="6376db8b01455ca1b4a1c3d89ad69316"/>
    <d v="2018-02-16T00:00:00"/>
    <d v="2018-03-12T00:00:00"/>
    <x v="13"/>
    <d v="2018-02-22T00:00:00"/>
    <x v="0"/>
    <d v="2018-02-16T00:00:00"/>
    <x v="1"/>
    <x v="1"/>
    <x v="0"/>
    <s v="5b8154610ebb21fb90eb587365e673df"/>
    <x v="0"/>
    <x v="0"/>
    <x v="2"/>
    <n v="130.99"/>
    <n v="18.170000000000002"/>
    <n v="149.16"/>
    <s v="Estimated 2018-03-12; handed to carrier 2018-02-16; no delivery recorded by end of 2018-03-18"/>
    <x v="1"/>
    <x v="0"/>
    <x v="0"/>
    <x v="0"/>
  </r>
  <r>
    <n v="251"/>
    <x v="1"/>
    <x v="0"/>
    <x v="1"/>
    <x v="1"/>
    <s v="0c02a4cb5207e682d63a1343cbddd13b"/>
    <d v="2018-02-12T00:00:00"/>
    <d v="2018-03-12T00:00:00"/>
    <x v="13"/>
    <d v="2018-02-22T00:00:00"/>
    <x v="0"/>
    <d v="2018-02-15T00:00:00"/>
    <x v="1"/>
    <x v="1"/>
    <x v="0"/>
    <s v="0b90b6df587eb83608a64ea8b390cf07"/>
    <x v="0"/>
    <x v="3"/>
    <x v="8"/>
    <n v="84"/>
    <n v="15.34"/>
    <n v="99.34"/>
    <s v="Estimated 2018-03-12; handed to carrier 2018-02-15; no delivery recorded by end of 2018-03-18"/>
    <x v="1"/>
    <x v="0"/>
    <x v="0"/>
    <x v="0"/>
  </r>
  <r>
    <n v="252"/>
    <x v="1"/>
    <x v="0"/>
    <x v="1"/>
    <x v="1"/>
    <s v="fe58b25c8ebdc65c3d4cb34070bf9e5d"/>
    <d v="2018-02-18T00:00:00"/>
    <d v="2018-03-12T00:00:00"/>
    <x v="13"/>
    <d v="2018-02-22T00:00:00"/>
    <x v="0"/>
    <d v="2018-03-14T00:00:00"/>
    <x v="1"/>
    <x v="1"/>
    <x v="0"/>
    <s v="95b293867b5862941c9cd74f756a3c68"/>
    <x v="0"/>
    <x v="0"/>
    <x v="1"/>
    <n v="54.9"/>
    <n v="14.13"/>
    <n v="69.03"/>
    <s v="Estimated 2018-03-12; handed to carrier 2018-03-14; no delivery recorded by end of 2018-03-18"/>
    <x v="1"/>
    <x v="0"/>
    <x v="0"/>
    <x v="0"/>
  </r>
  <r>
    <n v="253"/>
    <x v="1"/>
    <x v="0"/>
    <x v="1"/>
    <x v="1"/>
    <s v="7085eaa515a6aed1d7f7e9f86080db97"/>
    <d v="2018-02-18T00:00:00"/>
    <d v="2018-03-12T00:00:00"/>
    <x v="13"/>
    <d v="2018-02-22T00:00:00"/>
    <x v="0"/>
    <d v="2018-02-19T00:00:00"/>
    <x v="1"/>
    <x v="1"/>
    <x v="0"/>
    <s v="4992e76a42cb3aad7a7047e0d3d7e729"/>
    <x v="0"/>
    <x v="0"/>
    <x v="1"/>
    <n v="29.9"/>
    <n v="15.11"/>
    <n v="45.01"/>
    <s v="Estimated 2018-03-12; handed to carrier 2018-02-19; no delivery recorded by end of 2018-03-18"/>
    <x v="1"/>
    <x v="0"/>
    <x v="0"/>
    <x v="0"/>
  </r>
  <r>
    <n v="254"/>
    <x v="1"/>
    <x v="0"/>
    <x v="1"/>
    <x v="1"/>
    <s v="a7b6379e7ca83fc534678ad86108cff7"/>
    <d v="2018-02-17T00:00:00"/>
    <d v="2018-03-12T00:00:00"/>
    <x v="13"/>
    <d v="2018-02-22T00:00:00"/>
    <x v="0"/>
    <d v="2018-02-22T00:00:00"/>
    <x v="1"/>
    <x v="1"/>
    <x v="0"/>
    <s v="8b321bb669392f5163d04c59e235e066"/>
    <x v="0"/>
    <x v="0"/>
    <x v="1"/>
    <n v="13.65"/>
    <n v="14.1"/>
    <n v="27.75"/>
    <s v="Estimated 2018-03-12; handed to carrier 2018-02-22; no delivery recorded by end of 2018-03-18"/>
    <x v="1"/>
    <x v="0"/>
    <x v="0"/>
    <x v="0"/>
  </r>
  <r>
    <n v="255"/>
    <x v="1"/>
    <x v="0"/>
    <x v="1"/>
    <x v="1"/>
    <s v="bf3381b72ab1dc63ee282883a9018a9d"/>
    <d v="2018-02-17T00:00:00"/>
    <d v="2018-03-12T00:00:00"/>
    <x v="13"/>
    <d v="2018-02-23T00:00:00"/>
    <x v="0"/>
    <d v="2018-02-19T00:00:00"/>
    <x v="1"/>
    <x v="1"/>
    <x v="0"/>
    <s v="f5a590cf36251cf1162ea35bef76fe84"/>
    <x v="0"/>
    <x v="0"/>
    <x v="1"/>
    <n v="389"/>
    <n v="25.04"/>
    <n v="414.04"/>
    <s v="Estimated 2018-03-12; handed to carrier 2018-02-19; no delivery recorded by end of 2018-03-18"/>
    <x v="1"/>
    <x v="0"/>
    <x v="0"/>
    <x v="0"/>
  </r>
  <r>
    <n v="256"/>
    <x v="1"/>
    <x v="0"/>
    <x v="1"/>
    <x v="1"/>
    <s v="5667f52833bc78e17073dbcd870b6586"/>
    <d v="2018-02-19T00:00:00"/>
    <d v="2018-03-12T00:00:00"/>
    <x v="13"/>
    <d v="2018-02-23T00:00:00"/>
    <x v="0"/>
    <d v="2018-02-21T00:00:00"/>
    <x v="1"/>
    <x v="1"/>
    <x v="0"/>
    <s v="0dd184061fb0eaa7ca37932c68ab91c5"/>
    <x v="0"/>
    <x v="0"/>
    <x v="1"/>
    <n v="120"/>
    <n v="25.68"/>
    <n v="145.68"/>
    <s v="Estimated 2018-03-12; handed to carrier 2018-02-21; no delivery recorded by end of 2018-03-18"/>
    <x v="1"/>
    <x v="0"/>
    <x v="0"/>
    <x v="0"/>
  </r>
  <r>
    <n v="257"/>
    <x v="1"/>
    <x v="0"/>
    <x v="1"/>
    <x v="1"/>
    <s v="bd546c347a5a00ff3faed07494bd681e"/>
    <d v="2018-02-19T00:00:00"/>
    <d v="2018-03-12T00:00:00"/>
    <x v="13"/>
    <d v="2018-02-23T00:00:00"/>
    <x v="0"/>
    <d v="2018-02-20T00:00:00"/>
    <x v="1"/>
    <x v="2"/>
    <x v="0"/>
    <s v="1900267e848ceeba8fa32d80c1a5f5a8"/>
    <x v="0"/>
    <x v="0"/>
    <x v="1"/>
    <n v="106"/>
    <n v="30.24"/>
    <n v="136.24"/>
    <s v="Estimated 2018-03-12; handed to carrier 2018-02-20; no delivery recorded by end of 2018-03-18"/>
    <x v="1"/>
    <x v="0"/>
    <x v="0"/>
    <x v="0"/>
  </r>
  <r>
    <n v="258"/>
    <x v="1"/>
    <x v="0"/>
    <x v="1"/>
    <x v="1"/>
    <s v="58be617c22afd358984d890ce826e0c9"/>
    <d v="2018-02-17T00:00:00"/>
    <d v="2018-03-12T00:00:00"/>
    <x v="13"/>
    <d v="2018-02-23T00:00:00"/>
    <x v="0"/>
    <d v="2018-02-24T00:00:00"/>
    <x v="1"/>
    <x v="1"/>
    <x v="0"/>
    <s v="70a12e78e608ac31179aea7f8422044b"/>
    <x v="0"/>
    <x v="0"/>
    <x v="1"/>
    <n v="79"/>
    <n v="15.3"/>
    <n v="94.3"/>
    <s v="Estimated 2018-03-12; handed to carrier 2018-02-24; no delivery recorded by end of 2018-03-18"/>
    <x v="1"/>
    <x v="0"/>
    <x v="0"/>
    <x v="0"/>
  </r>
  <r>
    <n v="259"/>
    <x v="1"/>
    <x v="0"/>
    <x v="1"/>
    <x v="1"/>
    <s v="707977c86502593ef9aa22201fbcbde5"/>
    <d v="2018-02-19T00:00:00"/>
    <d v="2018-03-12T00:00:00"/>
    <x v="13"/>
    <d v="2018-02-23T00:00:00"/>
    <x v="0"/>
    <d v="2018-02-22T00:00:00"/>
    <x v="1"/>
    <x v="1"/>
    <x v="0"/>
    <s v="8b28d096634035667e8263d57ba3368c"/>
    <x v="0"/>
    <x v="0"/>
    <x v="2"/>
    <n v="39.9"/>
    <n v="15.1"/>
    <n v="55"/>
    <s v="Estimated 2018-03-12; handed to carrier 2018-02-22; no delivery recorded by end of 2018-03-18"/>
    <x v="1"/>
    <x v="0"/>
    <x v="0"/>
    <x v="0"/>
  </r>
  <r>
    <n v="260"/>
    <x v="1"/>
    <x v="0"/>
    <x v="1"/>
    <x v="1"/>
    <s v="d2cc32c3614a3446aef94cfc1ade79b3"/>
    <d v="2018-02-19T00:00:00"/>
    <d v="2018-03-12T00:00:00"/>
    <x v="13"/>
    <d v="2018-02-25T00:00:00"/>
    <x v="0"/>
    <d v="2018-02-26T00:00:00"/>
    <x v="1"/>
    <x v="1"/>
    <x v="0"/>
    <s v="ea8482cd71df3c1969d7b9473ff13abc"/>
    <x v="0"/>
    <x v="0"/>
    <x v="7"/>
    <n v="44.99"/>
    <n v="14.1"/>
    <n v="59.09"/>
    <s v="Estimated 2018-03-12; handed to carrier 2018-02-26; no delivery recorded by end of 2018-03-18"/>
    <x v="1"/>
    <x v="0"/>
    <x v="0"/>
    <x v="0"/>
  </r>
  <r>
    <n v="261"/>
    <x v="1"/>
    <x v="0"/>
    <x v="1"/>
    <x v="1"/>
    <s v="a7ccc4df2d363b2ba9037d1ef834a250"/>
    <d v="2018-02-20T00:00:00"/>
    <d v="2018-03-12T00:00:00"/>
    <x v="13"/>
    <d v="2018-02-26T00:00:00"/>
    <x v="0"/>
    <d v="2018-02-22T00:00:00"/>
    <x v="1"/>
    <x v="1"/>
    <x v="0"/>
    <s v="4869f7a5dfa277a7dca6462dcf3b52b2"/>
    <x v="0"/>
    <x v="0"/>
    <x v="3"/>
    <n v="165"/>
    <n v="16.78"/>
    <n v="181.78"/>
    <s v="Estimated 2018-03-12; handed to carrier 2018-02-22; no delivery recorded by end of 2018-03-18"/>
    <x v="1"/>
    <x v="0"/>
    <x v="0"/>
    <x v="0"/>
  </r>
  <r>
    <n v="262"/>
    <x v="1"/>
    <x v="0"/>
    <x v="1"/>
    <x v="1"/>
    <s v="23716dd823fe476b656d033ecc6bdb9e"/>
    <d v="2018-02-19T00:00:00"/>
    <d v="2018-03-12T00:00:00"/>
    <x v="13"/>
    <d v="2018-02-26T00:00:00"/>
    <x v="0"/>
    <d v="2018-02-22T00:00:00"/>
    <x v="1"/>
    <x v="1"/>
    <x v="0"/>
    <s v="8f2ce03f928b567e3d56181ae20ae952"/>
    <x v="0"/>
    <x v="0"/>
    <x v="10"/>
    <n v="99.9"/>
    <n v="20.190000000000001"/>
    <n v="120.09"/>
    <s v="Estimated 2018-03-12; handed to carrier 2018-02-22; no delivery recorded by end of 2018-03-18"/>
    <x v="1"/>
    <x v="0"/>
    <x v="0"/>
    <x v="0"/>
  </r>
  <r>
    <n v="263"/>
    <x v="1"/>
    <x v="0"/>
    <x v="1"/>
    <x v="1"/>
    <s v="9ec3685b1f21c7dfff4f656392b186dd"/>
    <d v="2018-02-20T00:00:00"/>
    <d v="2018-03-12T00:00:00"/>
    <x v="13"/>
    <d v="2018-02-26T00:00:00"/>
    <x v="0"/>
    <d v="2018-02-27T00:00:00"/>
    <x v="1"/>
    <x v="1"/>
    <x v="0"/>
    <s v="8581055ce74af1daba164fdbd55a40de"/>
    <x v="0"/>
    <x v="0"/>
    <x v="3"/>
    <n v="89.58"/>
    <n v="17.34"/>
    <n v="106.92"/>
    <s v="Estimated 2018-03-12; handed to carrier 2018-02-27; no delivery recorded by end of 2018-03-18"/>
    <x v="1"/>
    <x v="0"/>
    <x v="0"/>
    <x v="0"/>
  </r>
  <r>
    <n v="264"/>
    <x v="1"/>
    <x v="0"/>
    <x v="1"/>
    <x v="1"/>
    <s v="c4d634f71b69d24d203a3c63edb87e06"/>
    <d v="2018-02-20T00:00:00"/>
    <d v="2018-03-12T00:00:00"/>
    <x v="13"/>
    <d v="2018-02-26T00:00:00"/>
    <x v="0"/>
    <d v="2018-02-21T00:00:00"/>
    <x v="1"/>
    <x v="1"/>
    <x v="0"/>
    <s v="0885aaf116795758dfeb5f1032487bcd"/>
    <x v="0"/>
    <x v="0"/>
    <x v="2"/>
    <n v="74.900000000000006"/>
    <n v="15.28"/>
    <n v="90.18"/>
    <s v="Estimated 2018-03-12; handed to carrier 2018-02-21; no delivery recorded by end of 2018-03-18"/>
    <x v="1"/>
    <x v="0"/>
    <x v="0"/>
    <x v="0"/>
  </r>
  <r>
    <n v="265"/>
    <x v="1"/>
    <x v="0"/>
    <x v="1"/>
    <x v="1"/>
    <s v="6674020dce60ac29b7de0ffa6d2c34e6"/>
    <d v="2018-02-19T00:00:00"/>
    <d v="2018-03-12T00:00:00"/>
    <x v="13"/>
    <d v="2018-02-26T00:00:00"/>
    <x v="0"/>
    <d v="2018-02-20T00:00:00"/>
    <x v="1"/>
    <x v="1"/>
    <x v="0"/>
    <s v="cac4c8e7b1ca6252d8f20b2fc1a2e4af"/>
    <x v="0"/>
    <x v="0"/>
    <x v="1"/>
    <n v="39.99"/>
    <n v="21.19"/>
    <n v="61.18"/>
    <s v="Estimated 2018-03-12; handed to carrier 2018-02-20; no delivery recorded by end of 2018-03-18"/>
    <x v="1"/>
    <x v="0"/>
    <x v="0"/>
    <x v="0"/>
  </r>
  <r>
    <n v="266"/>
    <x v="1"/>
    <x v="0"/>
    <x v="1"/>
    <x v="1"/>
    <s v="8652f7789fe1585b439154b7ae0f4285"/>
    <d v="2018-02-20T00:00:00"/>
    <d v="2018-03-12T00:00:00"/>
    <x v="13"/>
    <d v="2018-02-26T00:00:00"/>
    <x v="0"/>
    <d v="2018-02-21T00:00:00"/>
    <x v="1"/>
    <x v="1"/>
    <x v="0"/>
    <s v="e9779976487b77c6d4ac45f75ec7afe9"/>
    <x v="0"/>
    <x v="0"/>
    <x v="3"/>
    <n v="35"/>
    <n v="11.85"/>
    <n v="46.85"/>
    <s v="Estimated 2018-03-12; handed to carrier 2018-02-21; no delivery recorded by end of 2018-03-18"/>
    <x v="1"/>
    <x v="0"/>
    <x v="0"/>
    <x v="0"/>
  </r>
  <r>
    <n v="267"/>
    <x v="1"/>
    <x v="0"/>
    <x v="1"/>
    <x v="1"/>
    <s v="d66690b9ba115c379910e119811db520"/>
    <d v="2018-02-11T00:00:00"/>
    <d v="2018-03-12T00:00:00"/>
    <x v="13"/>
    <d v="2018-02-27T00:00:00"/>
    <x v="0"/>
    <d v="2018-02-26T00:00:00"/>
    <x v="1"/>
    <x v="1"/>
    <x v="0"/>
    <s v="2089a6d640999f9b9141ac719b2af596"/>
    <x v="0"/>
    <x v="0"/>
    <x v="1"/>
    <n v="89.9"/>
    <n v="15.38"/>
    <n v="105.28"/>
    <s v="Estimated 2018-03-12; handed to carrier 2018-02-26; no delivery recorded by end of 2018-03-18"/>
    <x v="1"/>
    <x v="0"/>
    <x v="0"/>
    <x v="0"/>
  </r>
  <r>
    <n v="268"/>
    <x v="1"/>
    <x v="0"/>
    <x v="1"/>
    <x v="1"/>
    <s v="fbf9ac61453ac646ce8ad9783d7d0af6"/>
    <d v="2018-02-20T00:00:00"/>
    <d v="2018-03-12T00:00:00"/>
    <x v="13"/>
    <d v="2018-02-28T00:00:00"/>
    <x v="0"/>
    <d v="2018-02-26T00:00:00"/>
    <x v="1"/>
    <x v="1"/>
    <x v="0"/>
    <s v="c0563dd588b775f2e37747ef6ad6c92c"/>
    <x v="0"/>
    <x v="0"/>
    <x v="1"/>
    <n v="109.9"/>
    <n v="15.53"/>
    <n v="125.43"/>
    <s v="Estimated 2018-03-12; handed to carrier 2018-02-26; no delivery recorded by end of 2018-03-18"/>
    <x v="1"/>
    <x v="0"/>
    <x v="0"/>
    <x v="0"/>
  </r>
  <r>
    <n v="269"/>
    <x v="1"/>
    <x v="0"/>
    <x v="0"/>
    <x v="0"/>
    <s v="765917871914309e5c5f9ed151155ad4"/>
    <d v="2018-02-26T00:00:00"/>
    <d v="2018-03-12T00:00:00"/>
    <x v="13"/>
    <d v="2018-03-02T00:00:00"/>
    <x v="0"/>
    <m/>
    <x v="1"/>
    <x v="1"/>
    <x v="0"/>
    <s v="6560211a19b47992c3666cc44a7e94c0"/>
    <x v="0"/>
    <x v="0"/>
    <x v="3"/>
    <n v="55"/>
    <n v="7.78"/>
    <n v="62.78"/>
    <s v="Estimated 2018-03-12; approved 2018-02-26; ship-by 2018-03-02; not handed to carrier by end of 2018-03-18"/>
    <x v="0"/>
    <x v="0"/>
    <x v="0"/>
    <x v="0"/>
  </r>
  <r>
    <n v="270"/>
    <x v="1"/>
    <x v="0"/>
    <x v="0"/>
    <x v="0"/>
    <s v="2bc76dc101f9fa63d195e341cd11a649"/>
    <d v="2018-02-22T00:00:00"/>
    <d v="2018-03-12T00:00:00"/>
    <x v="13"/>
    <d v="2018-03-02T00:00:00"/>
    <x v="0"/>
    <m/>
    <x v="1"/>
    <x v="1"/>
    <x v="0"/>
    <s v="718539d38d07dd351c76db862760e2e2"/>
    <x v="0"/>
    <x v="0"/>
    <x v="3"/>
    <n v="25.9"/>
    <n v="9.34"/>
    <n v="35.24"/>
    <s v="Estimated 2018-03-12; approved 2018-02-22; ship-by 2018-03-02; not handed to carrier by end of 2018-03-18"/>
    <x v="0"/>
    <x v="0"/>
    <x v="0"/>
    <x v="0"/>
  </r>
  <r>
    <n v="271"/>
    <x v="1"/>
    <x v="0"/>
    <x v="0"/>
    <x v="0"/>
    <s v="3ac2529f6e36838d812d40688453abff"/>
    <d v="2018-02-21T00:00:00"/>
    <d v="2018-03-12T00:00:00"/>
    <x v="13"/>
    <d v="2018-03-02T00:00:00"/>
    <x v="0"/>
    <m/>
    <x v="1"/>
    <x v="1"/>
    <x v="0"/>
    <s v="b98b715fe9e276204e2a3464f48cd796"/>
    <x v="0"/>
    <x v="0"/>
    <x v="3"/>
    <n v="24.99"/>
    <n v="8.7200000000000006"/>
    <n v="33.71"/>
    <s v="Estimated 2018-03-12; approved 2018-02-21; ship-by 2018-03-02; not handed to carrier by end of 2018-03-18"/>
    <x v="0"/>
    <x v="0"/>
    <x v="0"/>
    <x v="0"/>
  </r>
  <r>
    <n v="272"/>
    <x v="1"/>
    <x v="0"/>
    <x v="1"/>
    <x v="1"/>
    <s v="28bc8f33c194dd4f636717ef490d0921"/>
    <d v="2018-02-26T00:00:00"/>
    <d v="2018-03-12T00:00:00"/>
    <x v="13"/>
    <d v="2018-03-05T00:00:00"/>
    <x v="0"/>
    <d v="2018-03-17T00:00:00"/>
    <x v="1"/>
    <x v="1"/>
    <x v="0"/>
    <s v="a49928bcdf77c55c6d6e05e09a9b4ca5"/>
    <x v="0"/>
    <x v="0"/>
    <x v="3"/>
    <n v="89.9"/>
    <n v="11.83"/>
    <n v="101.73"/>
    <s v="Estimated 2018-03-12; handed to carrier 2018-03-17; no delivery recorded by end of 2018-03-18"/>
    <x v="1"/>
    <x v="0"/>
    <x v="0"/>
    <x v="0"/>
  </r>
  <r>
    <n v="273"/>
    <x v="1"/>
    <x v="0"/>
    <x v="0"/>
    <x v="0"/>
    <s v="d1f4276166cee5a37d01beb15e2426fc"/>
    <d v="2018-02-26T00:00:00"/>
    <d v="2018-03-12T00:00:00"/>
    <x v="13"/>
    <d v="2018-03-05T00:00:00"/>
    <x v="0"/>
    <m/>
    <x v="1"/>
    <x v="1"/>
    <x v="0"/>
    <s v="a4e634166243bbb3a13fa584463fa468"/>
    <x v="0"/>
    <x v="0"/>
    <x v="3"/>
    <n v="15.9"/>
    <n v="8.7200000000000006"/>
    <n v="24.62"/>
    <s v="Estimated 2018-03-12; approved 2018-02-27; ship-by 2018-03-05; not handed to carrier by end of 2018-03-18"/>
    <x v="0"/>
    <x v="0"/>
    <x v="0"/>
    <x v="0"/>
  </r>
  <r>
    <n v="274"/>
    <x v="1"/>
    <x v="0"/>
    <x v="1"/>
    <x v="1"/>
    <s v="34b02644fdec1c2023ccffd67de2b385"/>
    <d v="2018-02-26T00:00:00"/>
    <d v="2018-03-12T00:00:00"/>
    <x v="13"/>
    <d v="2018-03-06T00:00:00"/>
    <x v="0"/>
    <d v="2018-03-01T00:00:00"/>
    <x v="1"/>
    <x v="1"/>
    <x v="0"/>
    <s v="b8555308bfdb4ca1ed54325a58da9a97"/>
    <x v="0"/>
    <x v="0"/>
    <x v="3"/>
    <n v="94.9"/>
    <n v="13.22"/>
    <n v="108.12"/>
    <s v="Estimated 2018-03-12; handed to carrier 2018-03-01; no delivery recorded by end of 2018-03-18"/>
    <x v="1"/>
    <x v="0"/>
    <x v="0"/>
    <x v="0"/>
  </r>
  <r>
    <n v="275"/>
    <x v="1"/>
    <x v="0"/>
    <x v="0"/>
    <x v="0"/>
    <s v="05e8a1fd3d354369a3de6e7230a3651f"/>
    <d v="2018-02-16T00:00:00"/>
    <d v="2018-03-12T00:00:00"/>
    <x v="13"/>
    <m/>
    <x v="0"/>
    <m/>
    <x v="1"/>
    <x v="3"/>
    <x v="1"/>
    <s v=""/>
    <x v="1"/>
    <x v="2"/>
    <x v="2"/>
    <n v="0"/>
    <n v="0"/>
    <n v="43.18"/>
    <s v=""/>
    <x v="0"/>
    <x v="0"/>
    <x v="0"/>
    <x v="0"/>
  </r>
  <r>
    <n v="276"/>
    <x v="1"/>
    <x v="0"/>
    <x v="2"/>
    <x v="2"/>
    <s v="b715c631fdd01580d9de3ed3759523c7"/>
    <d v="2018-02-17T00:00:00"/>
    <d v="2018-03-12T00:00:00"/>
    <x v="13"/>
    <m/>
    <x v="1"/>
    <m/>
    <x v="1"/>
    <x v="3"/>
    <x v="1"/>
    <s v=""/>
    <x v="1"/>
    <x v="2"/>
    <x v="3"/>
    <n v="0"/>
    <n v="0"/>
    <n v="112.92"/>
    <s v="Estimated 2018-03-12; purchased 2018-02-17; payment not approved by end of 2018-03-18"/>
    <x v="2"/>
    <x v="0"/>
    <x v="0"/>
    <x v="0"/>
  </r>
  <r>
    <n v="277"/>
    <x v="1"/>
    <x v="0"/>
    <x v="0"/>
    <x v="0"/>
    <s v="466839bc7437c08a787345cd313ba3dd"/>
    <d v="2018-01-19T00:00:00"/>
    <d v="2018-03-13T00:00:00"/>
    <x v="14"/>
    <d v="2018-02-08T00:00:00"/>
    <x v="0"/>
    <m/>
    <x v="1"/>
    <x v="1"/>
    <x v="0"/>
    <s v="cf8ab1616079e2793aa29d524df01bb1"/>
    <x v="0"/>
    <x v="0"/>
    <x v="5"/>
    <n v="1599"/>
    <n v="112.63"/>
    <n v="1711.63"/>
    <s v="Estimated 2018-03-13; approved 2018-01-19; ship-by 2018-02-08; not handed to carrier by end of 2018-03-18"/>
    <x v="0"/>
    <x v="0"/>
    <x v="0"/>
    <x v="0"/>
  </r>
  <r>
    <n v="278"/>
    <x v="1"/>
    <x v="0"/>
    <x v="1"/>
    <x v="1"/>
    <s v="2a430c80705b17c17f1e9e5b138e52d5"/>
    <d v="2018-02-04T00:00:00"/>
    <d v="2018-03-13T00:00:00"/>
    <x v="14"/>
    <d v="2018-02-09T00:00:00"/>
    <x v="0"/>
    <d v="2018-02-06T00:00:00"/>
    <x v="1"/>
    <x v="1"/>
    <x v="0"/>
    <s v="c3867b4666c7d76867627c2f7fb22e21"/>
    <x v="0"/>
    <x v="0"/>
    <x v="13"/>
    <n v="189.9"/>
    <n v="46.92"/>
    <n v="236.82"/>
    <s v="Estimated 2018-03-13; handed to carrier 2018-02-06; no delivery recorded by end of 2018-03-18"/>
    <x v="1"/>
    <x v="0"/>
    <x v="0"/>
    <x v="0"/>
  </r>
  <r>
    <n v="279"/>
    <x v="1"/>
    <x v="0"/>
    <x v="1"/>
    <x v="1"/>
    <s v="621f567448cbf2281b22381247c491ca"/>
    <d v="2018-02-05T00:00:00"/>
    <d v="2018-03-13T00:00:00"/>
    <x v="14"/>
    <d v="2018-02-13T00:00:00"/>
    <x v="0"/>
    <d v="2018-02-07T00:00:00"/>
    <x v="1"/>
    <x v="1"/>
    <x v="0"/>
    <s v="1f9ab4708f3056ede07124aad39a2554"/>
    <x v="0"/>
    <x v="0"/>
    <x v="6"/>
    <n v="174.9"/>
    <n v="40.21"/>
    <n v="215.11"/>
    <s v="Estimated 2018-03-13; handed to carrier 2018-02-07; no delivery recorded by end of 2018-03-18"/>
    <x v="1"/>
    <x v="0"/>
    <x v="0"/>
    <x v="0"/>
  </r>
  <r>
    <n v="280"/>
    <x v="1"/>
    <x v="0"/>
    <x v="1"/>
    <x v="1"/>
    <s v="0e3101d26015f1df99a269aeb3fbb02a"/>
    <d v="2018-02-07T00:00:00"/>
    <d v="2018-03-13T00:00:00"/>
    <x v="14"/>
    <d v="2018-02-13T00:00:00"/>
    <x v="0"/>
    <d v="2018-02-09T00:00:00"/>
    <x v="1"/>
    <x v="1"/>
    <x v="0"/>
    <s v="8581055ce74af1daba164fdbd55a40de"/>
    <x v="0"/>
    <x v="0"/>
    <x v="10"/>
    <n v="117.3"/>
    <n v="25.66"/>
    <n v="142.96"/>
    <s v="Estimated 2018-03-13; handed to carrier 2018-02-09; no delivery recorded by end of 2018-03-18"/>
    <x v="1"/>
    <x v="0"/>
    <x v="0"/>
    <x v="0"/>
  </r>
  <r>
    <n v="281"/>
    <x v="1"/>
    <x v="0"/>
    <x v="1"/>
    <x v="1"/>
    <s v="6225c94031a1e372349fa17f1891317d"/>
    <d v="2018-02-08T00:00:00"/>
    <d v="2018-03-13T00:00:00"/>
    <x v="14"/>
    <d v="2018-02-14T00:00:00"/>
    <x v="0"/>
    <d v="2018-02-08T00:00:00"/>
    <x v="1"/>
    <x v="1"/>
    <x v="0"/>
    <s v="31344c16881c08a8a72c6d2eb29918c1"/>
    <x v="0"/>
    <x v="1"/>
    <x v="1"/>
    <n v="219.9"/>
    <n v="36.6"/>
    <n v="256.5"/>
    <s v="Estimated 2018-03-13; handed to carrier 2018-02-08; no delivery recorded by end of 2018-03-18"/>
    <x v="1"/>
    <x v="0"/>
    <x v="0"/>
    <x v="0"/>
  </r>
  <r>
    <n v="282"/>
    <x v="1"/>
    <x v="0"/>
    <x v="1"/>
    <x v="1"/>
    <s v="c77e3aa4caf8e752789d9b7ce1caf352"/>
    <d v="2018-02-09T00:00:00"/>
    <d v="2018-03-13T00:00:00"/>
    <x v="14"/>
    <d v="2018-02-15T00:00:00"/>
    <x v="0"/>
    <d v="2018-02-09T00:00:00"/>
    <x v="1"/>
    <x v="1"/>
    <x v="0"/>
    <s v="07de60b03d150fb3ea09eab5da5e4c8b"/>
    <x v="0"/>
    <x v="0"/>
    <x v="4"/>
    <n v="89.9"/>
    <n v="19.87"/>
    <n v="109.77"/>
    <s v="Estimated 2018-03-13; handed to carrier 2018-02-09; no delivery recorded by end of 2018-03-18"/>
    <x v="1"/>
    <x v="0"/>
    <x v="0"/>
    <x v="0"/>
  </r>
  <r>
    <n v="283"/>
    <x v="1"/>
    <x v="0"/>
    <x v="1"/>
    <x v="1"/>
    <s v="2049616726f9272f1d1456285ad13cf5"/>
    <d v="2018-02-09T00:00:00"/>
    <d v="2018-03-13T00:00:00"/>
    <x v="14"/>
    <d v="2018-02-15T00:00:00"/>
    <x v="0"/>
    <d v="2018-02-14T00:00:00"/>
    <x v="1"/>
    <x v="1"/>
    <x v="0"/>
    <s v="fb89df7f89fd1b8f03fa2acca1ba7364"/>
    <x v="0"/>
    <x v="3"/>
    <x v="12"/>
    <n v="57"/>
    <n v="34.200000000000003"/>
    <n v="91.2"/>
    <s v="Estimated 2018-03-13; handed to carrier 2018-02-14; no delivery recorded by end of 2018-03-18"/>
    <x v="1"/>
    <x v="0"/>
    <x v="0"/>
    <x v="0"/>
  </r>
  <r>
    <n v="284"/>
    <x v="1"/>
    <x v="0"/>
    <x v="1"/>
    <x v="1"/>
    <s v="186fc1aa898961515ca374b0a320f6e8"/>
    <d v="2018-02-12T00:00:00"/>
    <d v="2018-03-13T00:00:00"/>
    <x v="14"/>
    <d v="2018-02-16T00:00:00"/>
    <x v="0"/>
    <d v="2018-02-14T00:00:00"/>
    <x v="1"/>
    <x v="1"/>
    <x v="0"/>
    <s v="4869f7a5dfa277a7dca6462dcf3b52b2"/>
    <x v="0"/>
    <x v="0"/>
    <x v="1"/>
    <n v="209.9"/>
    <n v="18.72"/>
    <n v="228.62"/>
    <s v="Estimated 2018-03-13; handed to carrier 2018-02-14; no delivery recorded by end of 2018-03-18"/>
    <x v="1"/>
    <x v="0"/>
    <x v="0"/>
    <x v="0"/>
  </r>
  <r>
    <n v="285"/>
    <x v="1"/>
    <x v="0"/>
    <x v="1"/>
    <x v="1"/>
    <s v="14904245b311483b6886be3c2e717e76"/>
    <d v="2018-02-12T00:00:00"/>
    <d v="2018-03-13T00:00:00"/>
    <x v="14"/>
    <d v="2018-02-16T00:00:00"/>
    <x v="0"/>
    <d v="2018-02-14T00:00:00"/>
    <x v="1"/>
    <x v="1"/>
    <x v="0"/>
    <s v="6560211a19b47992c3666cc44a7e94c0"/>
    <x v="0"/>
    <x v="0"/>
    <x v="13"/>
    <n v="55"/>
    <n v="17.670000000000002"/>
    <n v="72.67"/>
    <s v="Estimated 2018-03-13; handed to carrier 2018-02-14; no delivery recorded by end of 2018-03-18"/>
    <x v="1"/>
    <x v="0"/>
    <x v="0"/>
    <x v="0"/>
  </r>
  <r>
    <n v="286"/>
    <x v="1"/>
    <x v="0"/>
    <x v="1"/>
    <x v="1"/>
    <s v="ac403e440819af1853b7fcd7f04de6c4"/>
    <d v="2018-02-14T00:00:00"/>
    <d v="2018-03-13T00:00:00"/>
    <x v="14"/>
    <d v="2018-02-19T00:00:00"/>
    <x v="0"/>
    <d v="2018-02-14T00:00:00"/>
    <x v="1"/>
    <x v="1"/>
    <x v="0"/>
    <s v="94b9108d4b637ba65bb4f1e53cfcf8d8"/>
    <x v="0"/>
    <x v="0"/>
    <x v="1"/>
    <n v="3.54"/>
    <n v="14.1"/>
    <n v="17.64"/>
    <s v="Estimated 2018-03-13; handed to carrier 2018-02-14; no delivery recorded by end of 2018-03-18"/>
    <x v="1"/>
    <x v="0"/>
    <x v="0"/>
    <x v="0"/>
  </r>
  <r>
    <n v="287"/>
    <x v="1"/>
    <x v="0"/>
    <x v="1"/>
    <x v="1"/>
    <s v="23fecfa4bb4a22fea354fcab23bcf1cc"/>
    <d v="2018-02-14T00:00:00"/>
    <d v="2018-03-13T00:00:00"/>
    <x v="14"/>
    <d v="2018-02-20T00:00:00"/>
    <x v="0"/>
    <d v="2018-02-23T00:00:00"/>
    <x v="1"/>
    <x v="0"/>
    <x v="0"/>
    <s v="bbad7e518d7af88a0897397ffdca1979"/>
    <x v="0"/>
    <x v="0"/>
    <x v="19"/>
    <n v="265.52"/>
    <n v="137.04"/>
    <n v="402.56"/>
    <s v="Estimated 2018-03-13; handed to carrier 2018-02-23; no delivery recorded by end of 2018-03-18"/>
    <x v="1"/>
    <x v="0"/>
    <x v="0"/>
    <x v="0"/>
  </r>
  <r>
    <n v="288"/>
    <x v="1"/>
    <x v="0"/>
    <x v="1"/>
    <x v="1"/>
    <s v="dd8a350a80cdda9148a3c806549d2720"/>
    <d v="2018-02-14T00:00:00"/>
    <d v="2018-03-13T00:00:00"/>
    <x v="14"/>
    <d v="2018-02-20T00:00:00"/>
    <x v="0"/>
    <d v="2018-02-16T00:00:00"/>
    <x v="1"/>
    <x v="1"/>
    <x v="0"/>
    <s v="4a3ca9315b744ce9f8e9374361493884"/>
    <x v="0"/>
    <x v="0"/>
    <x v="6"/>
    <n v="86.9"/>
    <n v="33.06"/>
    <n v="119.96"/>
    <s v="Estimated 2018-03-13; handed to carrier 2018-02-16; no delivery recorded by end of 2018-03-18"/>
    <x v="1"/>
    <x v="0"/>
    <x v="0"/>
    <x v="0"/>
  </r>
  <r>
    <n v="289"/>
    <x v="1"/>
    <x v="0"/>
    <x v="1"/>
    <x v="1"/>
    <s v="b37221105bacc5296a24e7b334498547"/>
    <d v="2018-02-06T00:00:00"/>
    <d v="2018-03-13T00:00:00"/>
    <x v="14"/>
    <d v="2018-02-21T00:00:00"/>
    <x v="0"/>
    <d v="2018-02-20T00:00:00"/>
    <x v="1"/>
    <x v="1"/>
    <x v="0"/>
    <s v="7c67e1448b00f6e969d365cea6b010ab"/>
    <x v="0"/>
    <x v="0"/>
    <x v="3"/>
    <n v="136.99"/>
    <n v="37.049999999999997"/>
    <n v="174.04"/>
    <s v="Estimated 2018-03-13; handed to carrier 2018-02-20; no delivery recorded by end of 2018-03-18"/>
    <x v="1"/>
    <x v="0"/>
    <x v="0"/>
    <x v="0"/>
  </r>
  <r>
    <n v="290"/>
    <x v="1"/>
    <x v="0"/>
    <x v="0"/>
    <x v="0"/>
    <s v="10951d02d64917a34959abeb8130601e"/>
    <d v="2018-02-13T00:00:00"/>
    <d v="2018-03-13T00:00:00"/>
    <x v="14"/>
    <d v="2018-02-21T00:00:00"/>
    <x v="0"/>
    <m/>
    <x v="1"/>
    <x v="1"/>
    <x v="0"/>
    <s v="080102cd0a76b09e0dcf55fcacc60e05"/>
    <x v="0"/>
    <x v="1"/>
    <x v="4"/>
    <n v="42.79"/>
    <n v="16.79"/>
    <n v="59.58"/>
    <s v="Estimated 2018-03-13; approved 2018-02-15; ship-by 2018-02-21; not handed to carrier by end of 2018-03-18"/>
    <x v="0"/>
    <x v="0"/>
    <x v="0"/>
    <x v="0"/>
  </r>
  <r>
    <n v="291"/>
    <x v="1"/>
    <x v="0"/>
    <x v="1"/>
    <x v="1"/>
    <s v="5645645107dea4fb252b5fb68ed75db9"/>
    <d v="2018-02-15T00:00:00"/>
    <d v="2018-03-13T00:00:00"/>
    <x v="14"/>
    <d v="2018-02-22T00:00:00"/>
    <x v="0"/>
    <d v="2018-02-19T00:00:00"/>
    <x v="1"/>
    <x v="1"/>
    <x v="0"/>
    <s v="7586919161935337bf6b6d7ff5779648"/>
    <x v="0"/>
    <x v="4"/>
    <x v="4"/>
    <n v="611"/>
    <n v="60.51"/>
    <n v="671.51"/>
    <s v="Estimated 2018-03-13; handed to carrier 2018-02-19; no delivery recorded by end of 2018-03-18"/>
    <x v="1"/>
    <x v="0"/>
    <x v="0"/>
    <x v="0"/>
  </r>
  <r>
    <n v="292"/>
    <x v="1"/>
    <x v="0"/>
    <x v="1"/>
    <x v="1"/>
    <s v="1161ed293dc0a40bbed57348919f65ec"/>
    <d v="2018-02-14T00:00:00"/>
    <d v="2018-03-13T00:00:00"/>
    <x v="14"/>
    <d v="2018-02-22T00:00:00"/>
    <x v="0"/>
    <d v="2018-02-16T00:00:00"/>
    <x v="1"/>
    <x v="1"/>
    <x v="0"/>
    <s v="218d46b86c1881d022bce9c68a7d4b15"/>
    <x v="0"/>
    <x v="0"/>
    <x v="2"/>
    <n v="107"/>
    <n v="15.5"/>
    <n v="122.5"/>
    <s v="Estimated 2018-03-13; handed to carrier 2018-02-16; no delivery recorded by end of 2018-03-18"/>
    <x v="1"/>
    <x v="0"/>
    <x v="0"/>
    <x v="0"/>
  </r>
  <r>
    <n v="293"/>
    <x v="1"/>
    <x v="0"/>
    <x v="1"/>
    <x v="1"/>
    <s v="686809116cd16f0b805804aefb0102a4"/>
    <d v="2018-02-16T00:00:00"/>
    <d v="2018-03-13T00:00:00"/>
    <x v="14"/>
    <d v="2018-02-22T00:00:00"/>
    <x v="0"/>
    <d v="2018-02-20T00:00:00"/>
    <x v="1"/>
    <x v="2"/>
    <x v="0"/>
    <s v="602044f2c16190c2c6e45eb35c2e21cb"/>
    <x v="0"/>
    <x v="0"/>
    <x v="9"/>
    <n v="105.99"/>
    <n v="31.25"/>
    <n v="137.24"/>
    <s v="Estimated 2018-03-13; handed to carrier 2018-02-20; no delivery recorded by end of 2018-03-18"/>
    <x v="1"/>
    <x v="0"/>
    <x v="0"/>
    <x v="0"/>
  </r>
  <r>
    <n v="294"/>
    <x v="1"/>
    <x v="0"/>
    <x v="1"/>
    <x v="1"/>
    <s v="2a8c1802fe3f40cb8c4d6c1c8f0834c1"/>
    <d v="2018-02-18T00:00:00"/>
    <d v="2018-03-13T00:00:00"/>
    <x v="14"/>
    <d v="2018-02-22T00:00:00"/>
    <x v="0"/>
    <d v="2018-02-20T00:00:00"/>
    <x v="1"/>
    <x v="1"/>
    <x v="0"/>
    <s v="f262cbc1c910c83959f849465454ddd3"/>
    <x v="0"/>
    <x v="0"/>
    <x v="1"/>
    <n v="24.99"/>
    <n v="14.1"/>
    <n v="39.090000000000003"/>
    <s v="Estimated 2018-03-13; handed to carrier 2018-02-20; no delivery recorded by end of 2018-03-18"/>
    <x v="1"/>
    <x v="0"/>
    <x v="0"/>
    <x v="0"/>
  </r>
  <r>
    <n v="295"/>
    <x v="1"/>
    <x v="0"/>
    <x v="1"/>
    <x v="1"/>
    <s v="cf5c16c1ce5b2de3b5141ae26b58f65f"/>
    <d v="2018-02-18T00:00:00"/>
    <d v="2018-03-13T00:00:00"/>
    <x v="14"/>
    <d v="2018-02-22T00:00:00"/>
    <x v="0"/>
    <d v="2018-02-19T00:00:00"/>
    <x v="1"/>
    <x v="1"/>
    <x v="0"/>
    <s v="7a67c85e85bb2ce8582c35f2203ad736"/>
    <x v="0"/>
    <x v="0"/>
    <x v="17"/>
    <n v="21.99"/>
    <n v="15.11"/>
    <n v="37.1"/>
    <s v="Estimated 2018-03-13; handed to carrier 2018-02-19; no delivery recorded by end of 2018-03-18"/>
    <x v="1"/>
    <x v="0"/>
    <x v="0"/>
    <x v="0"/>
  </r>
  <r>
    <n v="296"/>
    <x v="1"/>
    <x v="0"/>
    <x v="1"/>
    <x v="1"/>
    <s v="6cedba94f8e590847115a3beec40a4a9"/>
    <d v="2018-02-16T00:00:00"/>
    <d v="2018-03-13T00:00:00"/>
    <x v="14"/>
    <d v="2018-02-22T00:00:00"/>
    <x v="0"/>
    <d v="2018-02-19T00:00:00"/>
    <x v="1"/>
    <x v="1"/>
    <x v="0"/>
    <s v="e5a3438891c0bfdb9394643f95273d8e"/>
    <x v="0"/>
    <x v="0"/>
    <x v="1"/>
    <n v="20.3"/>
    <n v="15.1"/>
    <n v="35.4"/>
    <s v="Estimated 2018-03-13; handed to carrier 2018-02-19; no delivery recorded by end of 2018-03-18"/>
    <x v="1"/>
    <x v="0"/>
    <x v="0"/>
    <x v="0"/>
  </r>
  <r>
    <n v="297"/>
    <x v="1"/>
    <x v="0"/>
    <x v="1"/>
    <x v="1"/>
    <s v="463a6c0963417e97f92017b2d8cc2eb2"/>
    <d v="2018-02-14T00:00:00"/>
    <d v="2018-03-13T00:00:00"/>
    <x v="14"/>
    <d v="2018-02-23T00:00:00"/>
    <x v="0"/>
    <d v="2018-02-22T00:00:00"/>
    <x v="1"/>
    <x v="1"/>
    <x v="0"/>
    <s v="1025f0e2d44d7041d6cf58b6550e0bfa"/>
    <x v="0"/>
    <x v="0"/>
    <x v="8"/>
    <n v="250"/>
    <n v="62.49"/>
    <n v="312.49"/>
    <s v="Estimated 2018-03-13; handed to carrier 2018-02-22; no delivery recorded by end of 2018-03-18"/>
    <x v="1"/>
    <x v="0"/>
    <x v="0"/>
    <x v="0"/>
  </r>
  <r>
    <n v="298"/>
    <x v="1"/>
    <x v="0"/>
    <x v="1"/>
    <x v="1"/>
    <s v="29ae9ab539215f3bbec11770fc3fe299"/>
    <d v="2018-02-13T00:00:00"/>
    <d v="2018-03-13T00:00:00"/>
    <x v="14"/>
    <d v="2018-02-23T00:00:00"/>
    <x v="0"/>
    <d v="2018-02-16T00:00:00"/>
    <x v="1"/>
    <x v="1"/>
    <x v="0"/>
    <s v="ceaec5548eefc6e23e6607c5435102e7"/>
    <x v="0"/>
    <x v="0"/>
    <x v="1"/>
    <n v="215"/>
    <n v="21"/>
    <n v="236"/>
    <s v="Estimated 2018-03-13; handed to carrier 2018-02-16; no delivery recorded by end of 2018-03-18"/>
    <x v="1"/>
    <x v="0"/>
    <x v="0"/>
    <x v="0"/>
  </r>
  <r>
    <n v="299"/>
    <x v="1"/>
    <x v="0"/>
    <x v="1"/>
    <x v="1"/>
    <s v="4eb56038347ee86edd66fb4f2abb0aa5"/>
    <d v="2018-02-19T00:00:00"/>
    <d v="2018-03-13T00:00:00"/>
    <x v="14"/>
    <d v="2018-02-23T00:00:00"/>
    <x v="0"/>
    <d v="2018-02-19T00:00:00"/>
    <x v="1"/>
    <x v="1"/>
    <x v="0"/>
    <s v="7a67c85e85bb2ce8582c35f2203ad736"/>
    <x v="0"/>
    <x v="0"/>
    <x v="8"/>
    <n v="65.989999999999995"/>
    <n v="16.71"/>
    <n v="82.7"/>
    <s v="Estimated 2018-03-13; handed to carrier 2018-02-19; no delivery recorded by end of 2018-03-18"/>
    <x v="1"/>
    <x v="0"/>
    <x v="0"/>
    <x v="0"/>
  </r>
  <r>
    <n v="300"/>
    <x v="1"/>
    <x v="0"/>
    <x v="1"/>
    <x v="1"/>
    <s v="202e894238874491c6d7ab51da37d94c"/>
    <d v="2018-02-16T00:00:00"/>
    <d v="2018-03-13T00:00:00"/>
    <x v="14"/>
    <d v="2018-02-26T00:00:00"/>
    <x v="0"/>
    <d v="2018-02-19T00:00:00"/>
    <x v="1"/>
    <x v="1"/>
    <x v="0"/>
    <s v="15fa791d5e017f66402dc28c44480657"/>
    <x v="0"/>
    <x v="0"/>
    <x v="3"/>
    <n v="979"/>
    <n v="78.2"/>
    <n v="1057.2"/>
    <s v="Estimated 2018-03-13; handed to carrier 2018-02-19; no delivery recorded by end of 2018-03-18"/>
    <x v="1"/>
    <x v="0"/>
    <x v="0"/>
    <x v="0"/>
  </r>
  <r>
    <n v="301"/>
    <x v="1"/>
    <x v="0"/>
    <x v="0"/>
    <x v="0"/>
    <s v="a8b78b69f09b2a198f5a89c1897f8c72"/>
    <d v="2018-02-17T00:00:00"/>
    <d v="2018-03-13T00:00:00"/>
    <x v="14"/>
    <d v="2018-02-26T00:00:00"/>
    <x v="0"/>
    <m/>
    <x v="1"/>
    <x v="1"/>
    <x v="0"/>
    <s v="afac9f6b0c4e5f0a7ee87e922cd0f873"/>
    <x v="0"/>
    <x v="0"/>
    <x v="3"/>
    <n v="20.99"/>
    <n v="11.85"/>
    <n v="32.840000000000003"/>
    <s v="Estimated 2018-03-13; approved 2018-02-17; ship-by 2018-02-26; not handed to carrier by end of 2018-03-18"/>
    <x v="0"/>
    <x v="0"/>
    <x v="0"/>
    <x v="0"/>
  </r>
  <r>
    <n v="302"/>
    <x v="1"/>
    <x v="0"/>
    <x v="0"/>
    <x v="0"/>
    <s v="e9c9e163bd9e8a23c5afab293ed676e2"/>
    <d v="2018-02-21T00:00:00"/>
    <d v="2018-03-13T00:00:00"/>
    <x v="14"/>
    <d v="2018-02-27T00:00:00"/>
    <x v="0"/>
    <m/>
    <x v="1"/>
    <x v="1"/>
    <x v="0"/>
    <s v="c3867b4666c7d76867627c2f7fb22e21"/>
    <x v="0"/>
    <x v="0"/>
    <x v="3"/>
    <n v="159.9"/>
    <n v="14.14"/>
    <n v="174.04"/>
    <s v="Estimated 2018-03-13; approved 2018-02-21; ship-by 2018-02-27; not handed to carrier by end of 2018-03-18"/>
    <x v="0"/>
    <x v="0"/>
    <x v="0"/>
    <x v="0"/>
  </r>
  <r>
    <n v="303"/>
    <x v="1"/>
    <x v="0"/>
    <x v="1"/>
    <x v="1"/>
    <s v="1fa78500e37879853df6bf65220a3994"/>
    <d v="2018-02-21T00:00:00"/>
    <d v="2018-03-13T00:00:00"/>
    <x v="14"/>
    <d v="2018-02-27T00:00:00"/>
    <x v="0"/>
    <d v="2018-02-27T00:00:00"/>
    <x v="1"/>
    <x v="1"/>
    <x v="0"/>
    <s v="ede0c03645598cdfc63ca8237acbe73d"/>
    <x v="0"/>
    <x v="0"/>
    <x v="3"/>
    <n v="44"/>
    <n v="11.85"/>
    <n v="55.85"/>
    <s v="Estimated 2018-03-13; handed to carrier 2018-02-27; no delivery recorded by end of 2018-03-18"/>
    <x v="1"/>
    <x v="0"/>
    <x v="0"/>
    <x v="0"/>
  </r>
  <r>
    <n v="304"/>
    <x v="1"/>
    <x v="0"/>
    <x v="1"/>
    <x v="1"/>
    <s v="cd9f7b10571863a4339b5ccdd2365f2f"/>
    <d v="2018-02-21T00:00:00"/>
    <d v="2018-03-13T00:00:00"/>
    <x v="14"/>
    <d v="2018-02-27T00:00:00"/>
    <x v="0"/>
    <d v="2018-02-26T00:00:00"/>
    <x v="1"/>
    <x v="1"/>
    <x v="0"/>
    <s v="2138ccb85b11a4ec1e37afbd1c8eda1f"/>
    <x v="0"/>
    <x v="0"/>
    <x v="3"/>
    <n v="24.99"/>
    <n v="11.85"/>
    <n v="36.840000000000003"/>
    <s v="Estimated 2018-03-13; handed to carrier 2018-02-26; no delivery recorded by end of 2018-03-18"/>
    <x v="1"/>
    <x v="0"/>
    <x v="0"/>
    <x v="0"/>
  </r>
  <r>
    <n v="305"/>
    <x v="1"/>
    <x v="0"/>
    <x v="1"/>
    <x v="1"/>
    <s v="9989d0ec04100fce996f6e906ada0278"/>
    <d v="2018-02-21T00:00:00"/>
    <d v="2018-03-13T00:00:00"/>
    <x v="14"/>
    <d v="2018-02-27T00:00:00"/>
    <x v="0"/>
    <d v="2018-02-27T00:00:00"/>
    <x v="1"/>
    <x v="1"/>
    <x v="0"/>
    <s v="11bfa66332777660bd0640ee84d47006"/>
    <x v="0"/>
    <x v="0"/>
    <x v="3"/>
    <n v="10.99"/>
    <n v="11.85"/>
    <n v="22.84"/>
    <s v="Estimated 2018-03-13; handed to carrier 2018-02-27; no delivery recorded by end of 2018-03-18"/>
    <x v="1"/>
    <x v="0"/>
    <x v="0"/>
    <x v="0"/>
  </r>
  <r>
    <n v="306"/>
    <x v="1"/>
    <x v="0"/>
    <x v="1"/>
    <x v="1"/>
    <s v="e80adaeb250096a2042a63c4b3d20bcf"/>
    <d v="2018-02-21T00:00:00"/>
    <d v="2018-03-13T00:00:00"/>
    <x v="14"/>
    <d v="2018-03-01T00:00:00"/>
    <x v="0"/>
    <d v="2018-02-28T00:00:00"/>
    <x v="1"/>
    <x v="2"/>
    <x v="0"/>
    <s v="25c5c91f63607446a97b143d2d535d31"/>
    <x v="0"/>
    <x v="1"/>
    <x v="1"/>
    <n v="287.8"/>
    <n v="63.52"/>
    <n v="351.32"/>
    <s v="Estimated 2018-03-13; handed to carrier 2018-02-28; no delivery recorded by end of 2018-03-18"/>
    <x v="1"/>
    <x v="0"/>
    <x v="0"/>
    <x v="0"/>
  </r>
  <r>
    <n v="307"/>
    <x v="1"/>
    <x v="0"/>
    <x v="1"/>
    <x v="1"/>
    <s v="3b80f5f8f9c4664e52e228a8ce5752f9"/>
    <d v="2018-02-27T00:00:00"/>
    <d v="2018-03-13T00:00:00"/>
    <x v="14"/>
    <d v="2018-03-05T00:00:00"/>
    <x v="0"/>
    <d v="2018-03-16T00:00:00"/>
    <x v="1"/>
    <x v="2"/>
    <x v="0"/>
    <s v="8e6d7754bc7e0f22c96d255ebda59eba"/>
    <x v="0"/>
    <x v="0"/>
    <x v="3"/>
    <n v="141.78"/>
    <n v="19.88"/>
    <n v="161.66"/>
    <s v="Estimated 2018-03-13; handed to carrier 2018-03-16; no delivery recorded by end of 2018-03-18"/>
    <x v="1"/>
    <x v="0"/>
    <x v="0"/>
    <x v="0"/>
  </r>
  <r>
    <n v="308"/>
    <x v="1"/>
    <x v="0"/>
    <x v="1"/>
    <x v="1"/>
    <s v="7bcd0046dcddeefcc87ed07ba748966b"/>
    <d v="2018-02-27T00:00:00"/>
    <d v="2018-03-13T00:00:00"/>
    <x v="14"/>
    <d v="2018-03-05T00:00:00"/>
    <x v="0"/>
    <d v="2018-03-17T00:00:00"/>
    <x v="1"/>
    <x v="1"/>
    <x v="0"/>
    <s v="a49928bcdf77c55c6d6e05e09a9b4ca5"/>
    <x v="0"/>
    <x v="0"/>
    <x v="3"/>
    <n v="89.9"/>
    <n v="11.83"/>
    <n v="101.73"/>
    <s v="Estimated 2018-03-13; handed to carrier 2018-03-17; no delivery recorded by end of 2018-03-18"/>
    <x v="1"/>
    <x v="0"/>
    <x v="0"/>
    <x v="0"/>
  </r>
  <r>
    <n v="309"/>
    <x v="1"/>
    <x v="0"/>
    <x v="0"/>
    <x v="0"/>
    <s v="808c7c69c2778bdf4689eee0286e2bef"/>
    <d v="2018-02-22T00:00:00"/>
    <d v="2018-03-13T00:00:00"/>
    <x v="14"/>
    <d v="2018-03-05T00:00:00"/>
    <x v="0"/>
    <m/>
    <x v="1"/>
    <x v="5"/>
    <x v="0"/>
    <s v="8a32e327fe2c1b3511609d81aaf9f042"/>
    <x v="0"/>
    <x v="0"/>
    <x v="3"/>
    <n v="77.94"/>
    <n v="56.04"/>
    <n v="133.97999999999999"/>
    <s v="Estimated 2018-03-13; approved 2018-02-22; ship-by 2018-03-05; not handed to carrier by end of 2018-03-18"/>
    <x v="0"/>
    <x v="0"/>
    <x v="0"/>
    <x v="0"/>
  </r>
  <r>
    <n v="310"/>
    <x v="1"/>
    <x v="0"/>
    <x v="0"/>
    <x v="0"/>
    <s v="667a6d329a62f026cfb2e41a6510a858"/>
    <d v="2018-02-27T00:00:00"/>
    <d v="2018-03-13T00:00:00"/>
    <x v="14"/>
    <d v="2018-03-05T00:00:00"/>
    <x v="0"/>
    <m/>
    <x v="1"/>
    <x v="1"/>
    <x v="0"/>
    <s v="41b39e28db005d9731d9d485a83b4c38"/>
    <x v="0"/>
    <x v="0"/>
    <x v="3"/>
    <n v="59.9"/>
    <n v="11.73"/>
    <n v="71.63"/>
    <s v="Estimated 2018-03-13; approved 2018-02-27; ship-by 2018-03-05; not handed to carrier by end of 2018-03-18"/>
    <x v="0"/>
    <x v="0"/>
    <x v="0"/>
    <x v="0"/>
  </r>
  <r>
    <n v="311"/>
    <x v="1"/>
    <x v="0"/>
    <x v="1"/>
    <x v="1"/>
    <s v="6cf51ab464bdd9f7b282f5fe72391383"/>
    <d v="2018-02-27T00:00:00"/>
    <d v="2018-03-13T00:00:00"/>
    <x v="14"/>
    <d v="2018-03-05T00:00:00"/>
    <x v="0"/>
    <d v="2018-02-28T00:00:00"/>
    <x v="1"/>
    <x v="1"/>
    <x v="0"/>
    <s v="620c87c171fb2a6dd6e8bb4dec959fc6"/>
    <x v="0"/>
    <x v="4"/>
    <x v="1"/>
    <n v="55.9"/>
    <n v="8.27"/>
    <n v="64.17"/>
    <s v="Estimated 2018-03-13; handed to carrier 2018-02-28; no delivery recorded by end of 2018-03-18"/>
    <x v="1"/>
    <x v="0"/>
    <x v="0"/>
    <x v="0"/>
  </r>
  <r>
    <n v="312"/>
    <x v="1"/>
    <x v="0"/>
    <x v="1"/>
    <x v="1"/>
    <s v="d9426f18fc5bcdadd300db98a31fe40b"/>
    <d v="2018-02-28T00:00:00"/>
    <d v="2018-03-13T00:00:00"/>
    <x v="14"/>
    <d v="2018-03-06T00:00:00"/>
    <x v="0"/>
    <d v="2018-03-05T00:00:00"/>
    <x v="1"/>
    <x v="1"/>
    <x v="0"/>
    <s v="834f8533b2ecb6598dd004ff3de7203a"/>
    <x v="0"/>
    <x v="0"/>
    <x v="3"/>
    <n v="101.9"/>
    <n v="13.27"/>
    <n v="115.17"/>
    <s v="Estimated 2018-03-13; handed to carrier 2018-03-05; no delivery recorded by end of 2018-03-18"/>
    <x v="1"/>
    <x v="0"/>
    <x v="0"/>
    <x v="0"/>
  </r>
  <r>
    <n v="313"/>
    <x v="1"/>
    <x v="0"/>
    <x v="1"/>
    <x v="1"/>
    <s v="7e30f6ae5435d7c05b487f7b5e1d61ba"/>
    <d v="2018-02-28T00:00:00"/>
    <d v="2018-03-13T00:00:00"/>
    <x v="14"/>
    <d v="2018-03-06T00:00:00"/>
    <x v="0"/>
    <d v="2018-03-02T00:00:00"/>
    <x v="1"/>
    <x v="1"/>
    <x v="0"/>
    <s v="ea8482cd71df3c1969d7b9473ff13abc"/>
    <x v="0"/>
    <x v="0"/>
    <x v="3"/>
    <n v="29.99"/>
    <n v="7.78"/>
    <n v="37.770000000000003"/>
    <s v="Estimated 2018-03-13; handed to carrier 2018-03-02; no delivery recorded by end of 2018-03-18"/>
    <x v="1"/>
    <x v="0"/>
    <x v="0"/>
    <x v="0"/>
  </r>
  <r>
    <n v="314"/>
    <x v="1"/>
    <x v="0"/>
    <x v="0"/>
    <x v="0"/>
    <s v="269507123b136cce3d2f6c5915f11bad"/>
    <d v="2018-02-12T00:00:00"/>
    <d v="2018-03-13T00:00:00"/>
    <x v="14"/>
    <m/>
    <x v="0"/>
    <m/>
    <x v="1"/>
    <x v="3"/>
    <x v="1"/>
    <s v=""/>
    <x v="1"/>
    <x v="2"/>
    <x v="10"/>
    <n v="0"/>
    <n v="0"/>
    <n v="217.61"/>
    <s v=""/>
    <x v="0"/>
    <x v="0"/>
    <x v="0"/>
    <x v="0"/>
  </r>
  <r>
    <n v="315"/>
    <x v="1"/>
    <x v="0"/>
    <x v="0"/>
    <x v="0"/>
    <s v="73628c6d02ed8f6134d9752cd7b83c2a"/>
    <d v="2018-02-14T00:00:00"/>
    <d v="2018-03-13T00:00:00"/>
    <x v="14"/>
    <m/>
    <x v="0"/>
    <m/>
    <x v="1"/>
    <x v="3"/>
    <x v="1"/>
    <s v=""/>
    <x v="1"/>
    <x v="2"/>
    <x v="1"/>
    <n v="0"/>
    <n v="0"/>
    <n v="226.23"/>
    <s v=""/>
    <x v="0"/>
    <x v="0"/>
    <x v="0"/>
    <x v="0"/>
  </r>
  <r>
    <n v="316"/>
    <x v="1"/>
    <x v="0"/>
    <x v="0"/>
    <x v="0"/>
    <s v="930f7f40db5f938e56fbc1bdcd1bb28b"/>
    <d v="2018-02-16T00:00:00"/>
    <d v="2018-03-13T00:00:00"/>
    <x v="14"/>
    <m/>
    <x v="0"/>
    <m/>
    <x v="1"/>
    <x v="3"/>
    <x v="1"/>
    <s v=""/>
    <x v="1"/>
    <x v="2"/>
    <x v="3"/>
    <n v="0"/>
    <n v="0"/>
    <n v="114.35"/>
    <s v=""/>
    <x v="0"/>
    <x v="0"/>
    <x v="0"/>
    <x v="0"/>
  </r>
  <r>
    <n v="317"/>
    <x v="1"/>
    <x v="0"/>
    <x v="0"/>
    <x v="0"/>
    <s v="c47e4de55f6735f7ddc4c6026769d569"/>
    <d v="2018-02-28T00:00:00"/>
    <d v="2018-03-13T00:00:00"/>
    <x v="14"/>
    <m/>
    <x v="0"/>
    <m/>
    <x v="1"/>
    <x v="3"/>
    <x v="1"/>
    <s v=""/>
    <x v="1"/>
    <x v="2"/>
    <x v="3"/>
    <n v="0"/>
    <n v="0"/>
    <n v="61.19"/>
    <s v=""/>
    <x v="0"/>
    <x v="0"/>
    <x v="0"/>
    <x v="0"/>
  </r>
  <r>
    <n v="318"/>
    <x v="1"/>
    <x v="0"/>
    <x v="0"/>
    <x v="0"/>
    <s v="ccb48770165d34335e1d156d6d2c6ec7"/>
    <d v="2018-02-15T00:00:00"/>
    <d v="2018-03-13T00:00:00"/>
    <x v="14"/>
    <m/>
    <x v="0"/>
    <m/>
    <x v="1"/>
    <x v="3"/>
    <x v="1"/>
    <s v=""/>
    <x v="1"/>
    <x v="2"/>
    <x v="11"/>
    <n v="0"/>
    <n v="0"/>
    <n v="82.73"/>
    <s v=""/>
    <x v="0"/>
    <x v="0"/>
    <x v="0"/>
    <x v="0"/>
  </r>
  <r>
    <n v="319"/>
    <x v="1"/>
    <x v="0"/>
    <x v="0"/>
    <x v="0"/>
    <s v="ec60e48662eb9eaf9ae685a3afa56518"/>
    <d v="2018-02-21T00:00:00"/>
    <d v="2018-03-13T00:00:00"/>
    <x v="14"/>
    <m/>
    <x v="0"/>
    <m/>
    <x v="1"/>
    <x v="3"/>
    <x v="1"/>
    <s v=""/>
    <x v="1"/>
    <x v="2"/>
    <x v="3"/>
    <n v="0"/>
    <n v="0"/>
    <n v="90.3"/>
    <s v=""/>
    <x v="0"/>
    <x v="0"/>
    <x v="0"/>
    <x v="0"/>
  </r>
  <r>
    <n v="320"/>
    <x v="1"/>
    <x v="0"/>
    <x v="0"/>
    <x v="0"/>
    <s v="a20191650d84d1d59f72139a87207a3b"/>
    <d v="2018-01-22T00:00:00"/>
    <d v="2018-03-14T00:00:00"/>
    <x v="15"/>
    <d v="2018-01-26T00:00:00"/>
    <x v="0"/>
    <m/>
    <x v="1"/>
    <x v="1"/>
    <x v="0"/>
    <s v="1da3aeb70d7989d1e6d9b0e887f97c23"/>
    <x v="0"/>
    <x v="0"/>
    <x v="20"/>
    <n v="89.99"/>
    <n v="25.66"/>
    <n v="115.65"/>
    <s v="Estimated 2018-03-14; approved 2018-01-22; ship-by 2018-01-26; not handed to carrier by end of 2018-03-18"/>
    <x v="0"/>
    <x v="0"/>
    <x v="0"/>
    <x v="0"/>
  </r>
  <r>
    <n v="321"/>
    <x v="1"/>
    <x v="0"/>
    <x v="1"/>
    <x v="1"/>
    <s v="9e1571408c90f2235bf00d6fd15f8d51"/>
    <d v="2018-02-06T00:00:00"/>
    <d v="2018-03-14T00:00:00"/>
    <x v="15"/>
    <d v="2018-02-12T00:00:00"/>
    <x v="0"/>
    <d v="2018-02-07T00:00:00"/>
    <x v="1"/>
    <x v="1"/>
    <x v="0"/>
    <s v="817245bcc3badd82bbd222e0366951a6"/>
    <x v="0"/>
    <x v="0"/>
    <x v="6"/>
    <n v="169.9"/>
    <n v="26.47"/>
    <n v="196.37"/>
    <s v="Estimated 2018-03-14; handed to carrier 2018-02-07; no delivery recorded by end of 2018-03-18"/>
    <x v="1"/>
    <x v="0"/>
    <x v="0"/>
    <x v="0"/>
  </r>
  <r>
    <n v="322"/>
    <x v="1"/>
    <x v="0"/>
    <x v="1"/>
    <x v="1"/>
    <s v="8ac5066a163c60c1ae9bf17200df3dd1"/>
    <d v="2018-02-08T00:00:00"/>
    <d v="2018-03-14T00:00:00"/>
    <x v="15"/>
    <d v="2018-02-14T00:00:00"/>
    <x v="0"/>
    <d v="2018-02-21T00:00:00"/>
    <x v="1"/>
    <x v="2"/>
    <x v="0"/>
    <s v="88460e8ebdecbfecb5f9601833981930"/>
    <x v="0"/>
    <x v="3"/>
    <x v="5"/>
    <n v="149.80000000000001"/>
    <n v="30.54"/>
    <n v="180.34"/>
    <s v="Estimated 2018-03-14; handed to carrier 2018-02-21; no delivery recorded by end of 2018-03-18"/>
    <x v="1"/>
    <x v="0"/>
    <x v="0"/>
    <x v="0"/>
  </r>
  <r>
    <n v="323"/>
    <x v="1"/>
    <x v="0"/>
    <x v="1"/>
    <x v="1"/>
    <s v="a249134c21e6cc24928060768941584e"/>
    <d v="2018-02-11T00:00:00"/>
    <d v="2018-03-14T00:00:00"/>
    <x v="15"/>
    <d v="2018-02-15T00:00:00"/>
    <x v="0"/>
    <d v="2018-02-15T00:00:00"/>
    <x v="1"/>
    <x v="2"/>
    <x v="0"/>
    <s v="b2479f944e1b90cf8a5de1bbfde284d6"/>
    <x v="0"/>
    <x v="0"/>
    <x v="5"/>
    <n v="71.98"/>
    <n v="32.22"/>
    <n v="104.2"/>
    <s v="Estimated 2018-03-14; handed to carrier 2018-02-15; no delivery recorded by end of 2018-03-18"/>
    <x v="1"/>
    <x v="0"/>
    <x v="0"/>
    <x v="0"/>
  </r>
  <r>
    <n v="324"/>
    <x v="1"/>
    <x v="0"/>
    <x v="1"/>
    <x v="1"/>
    <s v="eb2efae7334e4776381755ecd7c831dc"/>
    <d v="2018-02-12T00:00:00"/>
    <d v="2018-03-14T00:00:00"/>
    <x v="15"/>
    <d v="2018-02-16T00:00:00"/>
    <x v="0"/>
    <d v="2018-02-14T00:00:00"/>
    <x v="1"/>
    <x v="1"/>
    <x v="0"/>
    <s v="5b67882648febfb6e1225e6ad7164f6b"/>
    <x v="0"/>
    <x v="3"/>
    <x v="1"/>
    <n v="80.989999999999995"/>
    <n v="18.14"/>
    <n v="99.13"/>
    <s v="Estimated 2018-03-14; handed to carrier 2018-02-14; no delivery recorded by end of 2018-03-18"/>
    <x v="1"/>
    <x v="0"/>
    <x v="0"/>
    <x v="0"/>
  </r>
  <r>
    <n v="325"/>
    <x v="1"/>
    <x v="0"/>
    <x v="0"/>
    <x v="0"/>
    <s v="9c4aacf06d8fee894180123720425a6e"/>
    <d v="2018-02-13T00:00:00"/>
    <d v="2018-03-14T00:00:00"/>
    <x v="15"/>
    <d v="2018-02-19T00:00:00"/>
    <x v="0"/>
    <m/>
    <x v="1"/>
    <x v="1"/>
    <x v="0"/>
    <s v="50c361bcf670d16f6df4d52de3dff924"/>
    <x v="0"/>
    <x v="0"/>
    <x v="5"/>
    <n v="35"/>
    <n v="16.600000000000001"/>
    <n v="51.6"/>
    <s v="Estimated 2018-03-14; approved 2018-02-13; ship-by 2018-02-19; not handed to carrier by end of 2018-03-18"/>
    <x v="0"/>
    <x v="0"/>
    <x v="0"/>
    <x v="0"/>
  </r>
  <r>
    <n v="326"/>
    <x v="1"/>
    <x v="0"/>
    <x v="0"/>
    <x v="0"/>
    <s v="fa6d0c0ef7a7849ab7847303d458df3c"/>
    <d v="2018-02-05T00:00:00"/>
    <d v="2018-03-14T00:00:00"/>
    <x v="15"/>
    <d v="2018-02-19T00:00:00"/>
    <x v="0"/>
    <m/>
    <x v="1"/>
    <x v="1"/>
    <x v="0"/>
    <s v="4c8b8048e33af2bf94f2eb547746a916"/>
    <x v="0"/>
    <x v="0"/>
    <x v="7"/>
    <n v="24.6"/>
    <n v="16.11"/>
    <n v="40.71"/>
    <s v="Estimated 2018-03-14; approved 2018-02-05; ship-by 2018-02-19; not handed to carrier by end of 2018-03-18"/>
    <x v="0"/>
    <x v="0"/>
    <x v="0"/>
    <x v="0"/>
  </r>
  <r>
    <n v="327"/>
    <x v="1"/>
    <x v="0"/>
    <x v="1"/>
    <x v="1"/>
    <s v="38fad35c11cb18574e36b947cdd1a222"/>
    <d v="2018-02-14T00:00:00"/>
    <d v="2018-03-14T00:00:00"/>
    <x v="15"/>
    <d v="2018-02-20T00:00:00"/>
    <x v="0"/>
    <d v="2018-02-22T00:00:00"/>
    <x v="1"/>
    <x v="1"/>
    <x v="0"/>
    <s v="59b22a78efb79a4797979612b885db36"/>
    <x v="0"/>
    <x v="1"/>
    <x v="10"/>
    <n v="419"/>
    <n v="37.450000000000003"/>
    <n v="456.45"/>
    <s v="Estimated 2018-03-14; handed to carrier 2018-02-22; no delivery recorded by end of 2018-03-18"/>
    <x v="1"/>
    <x v="0"/>
    <x v="0"/>
    <x v="0"/>
  </r>
  <r>
    <n v="328"/>
    <x v="1"/>
    <x v="0"/>
    <x v="1"/>
    <x v="1"/>
    <s v="8eaa57692984fa5db36b0fdeaf44b66a"/>
    <d v="2018-02-13T00:00:00"/>
    <d v="2018-03-14T00:00:00"/>
    <x v="15"/>
    <d v="2018-02-20T00:00:00"/>
    <x v="0"/>
    <d v="2018-02-15T00:00:00"/>
    <x v="1"/>
    <x v="1"/>
    <x v="0"/>
    <s v="0aea4c6ae1505b3228ddf3dd7822ee5b"/>
    <x v="0"/>
    <x v="0"/>
    <x v="4"/>
    <n v="148.99"/>
    <n v="17.48"/>
    <n v="166.47"/>
    <s v="Estimated 2018-03-14; handed to carrier 2018-02-15; no delivery recorded by end of 2018-03-18"/>
    <x v="1"/>
    <x v="0"/>
    <x v="0"/>
    <x v="0"/>
  </r>
  <r>
    <n v="329"/>
    <x v="1"/>
    <x v="0"/>
    <x v="1"/>
    <x v="1"/>
    <s v="89739437b72ddcc97ca62d9ce338d0fd"/>
    <d v="2018-02-14T00:00:00"/>
    <d v="2018-03-14T00:00:00"/>
    <x v="15"/>
    <d v="2018-02-20T00:00:00"/>
    <x v="0"/>
    <d v="2018-02-16T00:00:00"/>
    <x v="1"/>
    <x v="1"/>
    <x v="0"/>
    <s v="0dd184061fb0eaa7ca37932c68ab91c5"/>
    <x v="0"/>
    <x v="0"/>
    <x v="5"/>
    <n v="104"/>
    <n v="23.05"/>
    <n v="127.05"/>
    <s v="Estimated 2018-03-14; handed to carrier 2018-02-16; no delivery recorded by end of 2018-03-18"/>
    <x v="1"/>
    <x v="0"/>
    <x v="0"/>
    <x v="0"/>
  </r>
  <r>
    <n v="330"/>
    <x v="1"/>
    <x v="0"/>
    <x v="1"/>
    <x v="1"/>
    <s v="9baba2001be25ff76212cddad73139de"/>
    <d v="2018-02-14T00:00:00"/>
    <d v="2018-03-14T00:00:00"/>
    <x v="15"/>
    <d v="2018-02-20T00:00:00"/>
    <x v="0"/>
    <d v="2018-02-16T00:00:00"/>
    <x v="1"/>
    <x v="1"/>
    <x v="0"/>
    <s v="128639473a139ac0f3e5f5ade55873a5"/>
    <x v="0"/>
    <x v="3"/>
    <x v="1"/>
    <n v="19.899999999999999"/>
    <n v="16.79"/>
    <n v="36.69"/>
    <s v="Estimated 2018-03-14; handed to carrier 2018-02-16; no delivery recorded by end of 2018-03-18"/>
    <x v="1"/>
    <x v="0"/>
    <x v="0"/>
    <x v="0"/>
  </r>
  <r>
    <n v="331"/>
    <x v="1"/>
    <x v="0"/>
    <x v="1"/>
    <x v="1"/>
    <s v="13b7cdafde78bebb404d4dc74c04fb82"/>
    <d v="2018-02-15T00:00:00"/>
    <d v="2018-03-14T00:00:00"/>
    <x v="15"/>
    <d v="2018-02-21T00:00:00"/>
    <x v="0"/>
    <d v="2018-02-21T00:00:00"/>
    <x v="1"/>
    <x v="1"/>
    <x v="0"/>
    <s v="3c487ae8f8d7542beff5788e2e0aea83"/>
    <x v="0"/>
    <x v="7"/>
    <x v="6"/>
    <n v="289.89999999999998"/>
    <n v="35.83"/>
    <n v="325.73"/>
    <s v="Estimated 2018-03-14; handed to carrier 2018-02-21; no delivery recorded by end of 2018-03-18"/>
    <x v="1"/>
    <x v="0"/>
    <x v="0"/>
    <x v="0"/>
  </r>
  <r>
    <n v="332"/>
    <x v="1"/>
    <x v="0"/>
    <x v="1"/>
    <x v="1"/>
    <s v="3b0e5a99d50a2371dc4f0dfbaf0a2a76"/>
    <d v="2018-02-17T00:00:00"/>
    <d v="2018-03-14T00:00:00"/>
    <x v="15"/>
    <d v="2018-02-21T00:00:00"/>
    <x v="0"/>
    <d v="2018-02-20T00:00:00"/>
    <x v="1"/>
    <x v="1"/>
    <x v="0"/>
    <s v="821fb029fc6e495ca4f08a35d51e53a5"/>
    <x v="0"/>
    <x v="0"/>
    <x v="21"/>
    <n v="230"/>
    <n v="26.45"/>
    <n v="256.45"/>
    <s v="Estimated 2018-03-14; handed to carrier 2018-02-20; no delivery recorded by end of 2018-03-18"/>
    <x v="1"/>
    <x v="0"/>
    <x v="0"/>
    <x v="0"/>
  </r>
  <r>
    <n v="333"/>
    <x v="1"/>
    <x v="0"/>
    <x v="1"/>
    <x v="1"/>
    <s v="9eb33d99dc51609493052a2822975ebc"/>
    <d v="2018-02-11T00:00:00"/>
    <d v="2018-03-14T00:00:00"/>
    <x v="15"/>
    <d v="2018-02-21T00:00:00"/>
    <x v="0"/>
    <d v="2018-02-16T00:00:00"/>
    <x v="1"/>
    <x v="1"/>
    <x v="0"/>
    <s v="1835b56ce799e6a4dc4eddc053f04066"/>
    <x v="0"/>
    <x v="0"/>
    <x v="5"/>
    <n v="56.99"/>
    <n v="16.16"/>
    <n v="73.150000000000006"/>
    <s v="Estimated 2018-03-14; handed to carrier 2018-02-16; no delivery recorded by end of 2018-03-18"/>
    <x v="1"/>
    <x v="0"/>
    <x v="0"/>
    <x v="0"/>
  </r>
  <r>
    <n v="334"/>
    <x v="1"/>
    <x v="0"/>
    <x v="1"/>
    <x v="1"/>
    <s v="95c9b6a458336c5de68ca8d1ba553078"/>
    <d v="2018-02-18T00:00:00"/>
    <d v="2018-03-14T00:00:00"/>
    <x v="15"/>
    <d v="2018-02-22T00:00:00"/>
    <x v="0"/>
    <d v="2018-02-20T00:00:00"/>
    <x v="1"/>
    <x v="1"/>
    <x v="0"/>
    <s v="bfd27a966d91cfaafdb25d076585f0da"/>
    <x v="0"/>
    <x v="0"/>
    <x v="1"/>
    <n v="349"/>
    <n v="18.2"/>
    <n v="367.2"/>
    <s v="Estimated 2018-03-14; handed to carrier 2018-02-20; no delivery recorded by end of 2018-03-18"/>
    <x v="1"/>
    <x v="0"/>
    <x v="0"/>
    <x v="0"/>
  </r>
  <r>
    <n v="335"/>
    <x v="1"/>
    <x v="0"/>
    <x v="1"/>
    <x v="1"/>
    <s v="3a53d5a9a0c58d291ff3ae407b6df5fd"/>
    <d v="2018-02-16T00:00:00"/>
    <d v="2018-03-14T00:00:00"/>
    <x v="15"/>
    <d v="2018-02-22T00:00:00"/>
    <x v="0"/>
    <d v="2018-02-19T00:00:00"/>
    <x v="1"/>
    <x v="1"/>
    <x v="0"/>
    <s v="ef0ace09169ac090589d85746e3e036f"/>
    <x v="0"/>
    <x v="4"/>
    <x v="5"/>
    <n v="117.9"/>
    <n v="16.27"/>
    <n v="134.16999999999999"/>
    <s v="Estimated 2018-03-14; handed to carrier 2018-02-19; no delivery recorded by end of 2018-03-18"/>
    <x v="1"/>
    <x v="0"/>
    <x v="0"/>
    <x v="0"/>
  </r>
  <r>
    <n v="336"/>
    <x v="1"/>
    <x v="0"/>
    <x v="0"/>
    <x v="0"/>
    <s v="3a7ca38e787a31a356329fad4b45ac35"/>
    <d v="2018-02-16T00:00:00"/>
    <d v="2018-03-14T00:00:00"/>
    <x v="15"/>
    <d v="2018-02-22T00:00:00"/>
    <x v="0"/>
    <m/>
    <x v="1"/>
    <x v="1"/>
    <x v="0"/>
    <s v="7e93a43ef30c4f03f38b393420bc753a"/>
    <x v="0"/>
    <x v="0"/>
    <x v="2"/>
    <n v="108.99"/>
    <n v="15.51"/>
    <n v="124.5"/>
    <s v="Estimated 2018-03-14; approved 2018-02-16; ship-by 2018-02-22; not handed to carrier by end of 2018-03-18"/>
    <x v="0"/>
    <x v="0"/>
    <x v="0"/>
    <x v="0"/>
  </r>
  <r>
    <n v="337"/>
    <x v="1"/>
    <x v="0"/>
    <x v="0"/>
    <x v="0"/>
    <s v="550f1d2fa6888807a4ffb1d80d06f899"/>
    <d v="2018-02-18T00:00:00"/>
    <d v="2018-03-14T00:00:00"/>
    <x v="15"/>
    <d v="2018-02-22T00:00:00"/>
    <x v="0"/>
    <m/>
    <x v="1"/>
    <x v="1"/>
    <x v="0"/>
    <s v="8b28d096634035667e8263d57ba3368c"/>
    <x v="0"/>
    <x v="0"/>
    <x v="2"/>
    <n v="87.9"/>
    <n v="15.37"/>
    <n v="103.27"/>
    <s v="Estimated 2018-03-14; approved 2018-02-18; ship-by 2018-02-22; not handed to carrier by end of 2018-03-18"/>
    <x v="0"/>
    <x v="0"/>
    <x v="0"/>
    <x v="0"/>
  </r>
  <r>
    <n v="338"/>
    <x v="1"/>
    <x v="0"/>
    <x v="1"/>
    <x v="1"/>
    <s v="2fe3cac4410271c6297a141898af28f0"/>
    <d v="2018-02-17T00:00:00"/>
    <d v="2018-03-14T00:00:00"/>
    <x v="15"/>
    <d v="2018-02-22T00:00:00"/>
    <x v="0"/>
    <d v="2018-03-02T00:00:00"/>
    <x v="1"/>
    <x v="1"/>
    <x v="0"/>
    <s v="d20b021d3efdf267a402c402a48ea64b"/>
    <x v="0"/>
    <x v="0"/>
    <x v="1"/>
    <n v="79.989999999999995"/>
    <n v="17.809999999999999"/>
    <n v="97.8"/>
    <s v="Estimated 2018-03-14; handed to carrier 2018-03-02; no delivery recorded by end of 2018-03-18"/>
    <x v="1"/>
    <x v="0"/>
    <x v="0"/>
    <x v="0"/>
  </r>
  <r>
    <n v="339"/>
    <x v="1"/>
    <x v="0"/>
    <x v="1"/>
    <x v="1"/>
    <s v="cdeec5de39a62045ad7edd0f00cc8858"/>
    <d v="2018-02-16T00:00:00"/>
    <d v="2018-03-14T00:00:00"/>
    <x v="15"/>
    <d v="2018-02-22T00:00:00"/>
    <x v="0"/>
    <d v="2018-03-13T00:00:00"/>
    <x v="1"/>
    <x v="1"/>
    <x v="0"/>
    <s v="8629a7efec1aab257e58cda559f03ba7"/>
    <x v="0"/>
    <x v="10"/>
    <x v="1"/>
    <n v="45.22"/>
    <n v="18.89"/>
    <n v="64.11"/>
    <s v="Estimated 2018-03-14; handed to carrier 2018-03-13; no delivery recorded by end of 2018-03-18"/>
    <x v="1"/>
    <x v="0"/>
    <x v="0"/>
    <x v="0"/>
  </r>
  <r>
    <n v="340"/>
    <x v="1"/>
    <x v="0"/>
    <x v="1"/>
    <x v="1"/>
    <s v="6937859dba684e88640f04b2fd471d7c"/>
    <d v="2018-02-17T00:00:00"/>
    <d v="2018-03-14T00:00:00"/>
    <x v="15"/>
    <d v="2018-02-22T00:00:00"/>
    <x v="0"/>
    <d v="2018-02-22T00:00:00"/>
    <x v="1"/>
    <x v="1"/>
    <x v="0"/>
    <s v="1c129092bf23f28a5930387c980c0dfc"/>
    <x v="0"/>
    <x v="0"/>
    <x v="1"/>
    <n v="25"/>
    <n v="15.1"/>
    <n v="40.1"/>
    <s v="Estimated 2018-03-14; handed to carrier 2018-02-22; no delivery recorded by end of 2018-03-18"/>
    <x v="1"/>
    <x v="0"/>
    <x v="0"/>
    <x v="0"/>
  </r>
  <r>
    <n v="341"/>
    <x v="1"/>
    <x v="0"/>
    <x v="1"/>
    <x v="1"/>
    <s v="68517b95130ed0ea1dbcc575b88d6a9c"/>
    <d v="2018-02-17T00:00:00"/>
    <d v="2018-03-14T00:00:00"/>
    <x v="15"/>
    <d v="2018-02-22T00:00:00"/>
    <x v="0"/>
    <d v="2018-02-20T00:00:00"/>
    <x v="1"/>
    <x v="1"/>
    <x v="0"/>
    <s v="1900267e848ceeba8fa32d80c1a5f5a8"/>
    <x v="0"/>
    <x v="0"/>
    <x v="17"/>
    <n v="19.899999999999999"/>
    <n v="15.1"/>
    <n v="35"/>
    <s v="Estimated 2018-03-14; handed to carrier 2018-02-20; no delivery recorded by end of 2018-03-18"/>
    <x v="1"/>
    <x v="0"/>
    <x v="0"/>
    <x v="0"/>
  </r>
  <r>
    <n v="342"/>
    <x v="1"/>
    <x v="0"/>
    <x v="1"/>
    <x v="1"/>
    <s v="03b936f126145f2bb36600400aedb13a"/>
    <d v="2018-02-18T00:00:00"/>
    <d v="2018-03-14T00:00:00"/>
    <x v="15"/>
    <d v="2018-02-22T00:00:00"/>
    <x v="0"/>
    <d v="2018-03-02T00:00:00"/>
    <x v="1"/>
    <x v="1"/>
    <x v="0"/>
    <s v="d20b021d3efdf267a402c402a48ea64b"/>
    <x v="0"/>
    <x v="0"/>
    <x v="9"/>
    <n v="10.99"/>
    <n v="15.1"/>
    <n v="26.09"/>
    <s v="Estimated 2018-03-14; handed to carrier 2018-03-02; no delivery recorded by end of 2018-03-18"/>
    <x v="1"/>
    <x v="0"/>
    <x v="0"/>
    <x v="0"/>
  </r>
  <r>
    <n v="343"/>
    <x v="1"/>
    <x v="0"/>
    <x v="1"/>
    <x v="1"/>
    <s v="6b1e15c6a0e45c136eb1b2474ca126e9"/>
    <d v="2018-02-19T00:00:00"/>
    <d v="2018-03-14T00:00:00"/>
    <x v="15"/>
    <d v="2018-02-23T00:00:00"/>
    <x v="0"/>
    <d v="2018-02-20T00:00:00"/>
    <x v="1"/>
    <x v="1"/>
    <x v="0"/>
    <s v="729f06993dac8e860d4f02d7088ca48a"/>
    <x v="0"/>
    <x v="0"/>
    <x v="1"/>
    <n v="399.9"/>
    <n v="173.43"/>
    <n v="573.33000000000004"/>
    <s v="Estimated 2018-03-14; handed to carrier 2018-02-20; no delivery recorded by end of 2018-03-18"/>
    <x v="1"/>
    <x v="0"/>
    <x v="0"/>
    <x v="0"/>
  </r>
  <r>
    <n v="344"/>
    <x v="1"/>
    <x v="0"/>
    <x v="1"/>
    <x v="1"/>
    <s v="c982c1af10010b2f227a2ceb69a994fa"/>
    <d v="2018-02-19T00:00:00"/>
    <d v="2018-03-14T00:00:00"/>
    <x v="15"/>
    <d v="2018-02-23T00:00:00"/>
    <x v="0"/>
    <d v="2018-02-22T00:00:00"/>
    <x v="1"/>
    <x v="1"/>
    <x v="0"/>
    <s v="972d0f9cf61b499a4812cf0bfa3ad3c4"/>
    <x v="0"/>
    <x v="5"/>
    <x v="3"/>
    <n v="84.44"/>
    <n v="17.84"/>
    <n v="102.28"/>
    <s v="Estimated 2018-03-14; handed to carrier 2018-02-22; no delivery recorded by end of 2018-03-18"/>
    <x v="1"/>
    <x v="0"/>
    <x v="0"/>
    <x v="0"/>
  </r>
  <r>
    <n v="345"/>
    <x v="1"/>
    <x v="0"/>
    <x v="1"/>
    <x v="1"/>
    <s v="bf5099786cc9dcd17a4961c9406fb3f3"/>
    <d v="2018-02-19T00:00:00"/>
    <d v="2018-03-14T00:00:00"/>
    <x v="15"/>
    <d v="2018-02-23T00:00:00"/>
    <x v="0"/>
    <d v="2018-02-22T00:00:00"/>
    <x v="1"/>
    <x v="1"/>
    <x v="0"/>
    <s v="f457c46070d02cadd8a68551231220dd"/>
    <x v="0"/>
    <x v="3"/>
    <x v="1"/>
    <n v="68.900000000000006"/>
    <n v="16.920000000000002"/>
    <n v="85.82"/>
    <s v="Estimated 2018-03-14; handed to carrier 2018-02-22; no delivery recorded by end of 2018-03-18"/>
    <x v="1"/>
    <x v="0"/>
    <x v="0"/>
    <x v="0"/>
  </r>
  <r>
    <n v="346"/>
    <x v="1"/>
    <x v="0"/>
    <x v="0"/>
    <x v="0"/>
    <s v="9acc95f3652577fb8a5c8b1a7ee9bd96"/>
    <d v="2018-02-15T00:00:00"/>
    <d v="2018-03-14T00:00:00"/>
    <x v="15"/>
    <d v="2018-02-23T00:00:00"/>
    <x v="0"/>
    <m/>
    <x v="1"/>
    <x v="1"/>
    <x v="0"/>
    <s v="e3e15e2c0b9700561efac21c6be48066"/>
    <x v="0"/>
    <x v="0"/>
    <x v="6"/>
    <n v="23.75"/>
    <n v="17.63"/>
    <n v="41.38"/>
    <s v="Estimated 2018-03-14; approved 2018-02-16; ship-by 2018-02-23; not handed to carrier by end of 2018-03-18"/>
    <x v="0"/>
    <x v="0"/>
    <x v="0"/>
    <x v="0"/>
  </r>
  <r>
    <n v="347"/>
    <x v="1"/>
    <x v="0"/>
    <x v="1"/>
    <x v="1"/>
    <s v="f8e1c556dbd76c6784f4283973f0095f"/>
    <d v="2018-02-19T00:00:00"/>
    <d v="2018-03-14T00:00:00"/>
    <x v="15"/>
    <d v="2018-02-25T00:00:00"/>
    <x v="0"/>
    <d v="2018-02-21T00:00:00"/>
    <x v="1"/>
    <x v="1"/>
    <x v="0"/>
    <s v="4a3ca9315b744ce9f8e9374361493884"/>
    <x v="0"/>
    <x v="0"/>
    <x v="2"/>
    <n v="92.9"/>
    <n v="21.14"/>
    <n v="114.04"/>
    <s v="Estimated 2018-03-14; handed to carrier 2018-02-21; no delivery recorded by end of 2018-03-18"/>
    <x v="1"/>
    <x v="0"/>
    <x v="0"/>
    <x v="0"/>
  </r>
  <r>
    <n v="348"/>
    <x v="1"/>
    <x v="0"/>
    <x v="1"/>
    <x v="1"/>
    <s v="ca710aeaf469a14db2f46bf1bf7f5c54"/>
    <d v="2018-02-17T00:00:00"/>
    <d v="2018-03-14T00:00:00"/>
    <x v="15"/>
    <d v="2018-02-26T00:00:00"/>
    <x v="0"/>
    <d v="2018-03-14T00:00:00"/>
    <x v="1"/>
    <x v="4"/>
    <x v="0"/>
    <s v="165fc07beebdcb6190fba8a06db2a449"/>
    <x v="0"/>
    <x v="3"/>
    <x v="17"/>
    <n v="539.70000000000005"/>
    <n v="83.4"/>
    <n v="623.1"/>
    <s v="Estimated 2018-03-14; handed to carrier 2018-03-14; no delivery recorded by end of 2018-03-18"/>
    <x v="1"/>
    <x v="0"/>
    <x v="0"/>
    <x v="0"/>
  </r>
  <r>
    <n v="349"/>
    <x v="1"/>
    <x v="0"/>
    <x v="1"/>
    <x v="1"/>
    <s v="cac853d40d32850dba1ccff2c9f17269"/>
    <d v="2018-02-18T00:00:00"/>
    <d v="2018-03-14T00:00:00"/>
    <x v="15"/>
    <d v="2018-02-26T00:00:00"/>
    <x v="0"/>
    <d v="2018-03-12T00:00:00"/>
    <x v="1"/>
    <x v="1"/>
    <x v="0"/>
    <s v="99eaacc9e6046db1c82b163c5f84869f"/>
    <x v="0"/>
    <x v="0"/>
    <x v="2"/>
    <n v="290"/>
    <n v="17.79"/>
    <n v="307.79000000000002"/>
    <s v="Estimated 2018-03-14; handed to carrier 2018-03-12; no delivery recorded by end of 2018-03-18"/>
    <x v="1"/>
    <x v="0"/>
    <x v="0"/>
    <x v="0"/>
  </r>
  <r>
    <n v="350"/>
    <x v="1"/>
    <x v="0"/>
    <x v="1"/>
    <x v="1"/>
    <s v="636cdd02667dc8d76d9296bf20a6890a"/>
    <d v="2018-02-17T00:00:00"/>
    <d v="2018-03-14T00:00:00"/>
    <x v="15"/>
    <d v="2018-02-26T00:00:00"/>
    <x v="0"/>
    <d v="2018-02-20T00:00:00"/>
    <x v="1"/>
    <x v="1"/>
    <x v="0"/>
    <s v="a1043bafd471dff536d0c462352beb48"/>
    <x v="0"/>
    <x v="1"/>
    <x v="3"/>
    <n v="179"/>
    <n v="45.71"/>
    <n v="224.71"/>
    <s v="Estimated 2018-03-14; handed to carrier 2018-02-20; no delivery recorded by end of 2018-03-18"/>
    <x v="1"/>
    <x v="0"/>
    <x v="0"/>
    <x v="0"/>
  </r>
  <r>
    <n v="351"/>
    <x v="1"/>
    <x v="0"/>
    <x v="1"/>
    <x v="1"/>
    <s v="24a562b69731cbec7439c1752c500f82"/>
    <d v="2018-02-19T00:00:00"/>
    <d v="2018-03-14T00:00:00"/>
    <x v="15"/>
    <d v="2018-02-26T00:00:00"/>
    <x v="0"/>
    <d v="2018-02-24T00:00:00"/>
    <x v="1"/>
    <x v="1"/>
    <x v="0"/>
    <s v="c3867b4666c7d76867627c2f7fb22e21"/>
    <x v="0"/>
    <x v="0"/>
    <x v="1"/>
    <n v="119"/>
    <n v="16.59"/>
    <n v="135.59"/>
    <s v="Estimated 2018-03-14; handed to carrier 2018-02-24; no delivery recorded by end of 2018-03-18"/>
    <x v="1"/>
    <x v="0"/>
    <x v="0"/>
    <x v="0"/>
  </r>
  <r>
    <n v="352"/>
    <x v="1"/>
    <x v="0"/>
    <x v="1"/>
    <x v="1"/>
    <s v="e65296eb50fe1920930ee46ff3337238"/>
    <d v="2018-02-19T00:00:00"/>
    <d v="2018-03-14T00:00:00"/>
    <x v="15"/>
    <d v="2018-02-26T00:00:00"/>
    <x v="0"/>
    <d v="2018-02-21T00:00:00"/>
    <x v="1"/>
    <x v="1"/>
    <x v="0"/>
    <s v="cc419e0650a3c5ba77189a1882b7556a"/>
    <x v="0"/>
    <x v="0"/>
    <x v="1"/>
    <n v="58.99"/>
    <n v="17.66"/>
    <n v="76.650000000000006"/>
    <s v="Estimated 2018-03-14; handed to carrier 2018-02-21; no delivery recorded by end of 2018-03-18"/>
    <x v="1"/>
    <x v="0"/>
    <x v="0"/>
    <x v="0"/>
  </r>
  <r>
    <n v="353"/>
    <x v="1"/>
    <x v="0"/>
    <x v="1"/>
    <x v="1"/>
    <s v="e53516f14e3cc830f4afa84315707e9a"/>
    <d v="2018-02-17T00:00:00"/>
    <d v="2018-03-14T00:00:00"/>
    <x v="15"/>
    <d v="2018-02-26T00:00:00"/>
    <x v="0"/>
    <d v="2018-02-26T00:00:00"/>
    <x v="1"/>
    <x v="1"/>
    <x v="0"/>
    <s v="8b321bb669392f5163d04c59e235e066"/>
    <x v="0"/>
    <x v="0"/>
    <x v="11"/>
    <n v="12.25"/>
    <n v="21.15"/>
    <n v="33.4"/>
    <s v="Estimated 2018-03-14; handed to carrier 2018-02-26; no delivery recorded by end of 2018-03-18"/>
    <x v="1"/>
    <x v="0"/>
    <x v="0"/>
    <x v="0"/>
  </r>
  <r>
    <n v="354"/>
    <x v="1"/>
    <x v="0"/>
    <x v="1"/>
    <x v="1"/>
    <s v="841155000418a8a525b16b90fac1dcd3"/>
    <d v="2018-02-21T00:00:00"/>
    <d v="2018-03-14T00:00:00"/>
    <x v="15"/>
    <d v="2018-02-27T00:00:00"/>
    <x v="0"/>
    <d v="2018-02-22T00:00:00"/>
    <x v="1"/>
    <x v="1"/>
    <x v="0"/>
    <s v="7ddcbb64b5bc1ef36ca8c151f6ec77df"/>
    <x v="0"/>
    <x v="0"/>
    <x v="10"/>
    <n v="176.99"/>
    <n v="23.56"/>
    <n v="200.55"/>
    <s v="Estimated 2018-03-14; handed to carrier 2018-02-22; no delivery recorded by end of 2018-03-18"/>
    <x v="1"/>
    <x v="0"/>
    <x v="0"/>
    <x v="0"/>
  </r>
  <r>
    <n v="355"/>
    <x v="1"/>
    <x v="0"/>
    <x v="1"/>
    <x v="1"/>
    <s v="e56d6fad37333104e525678504e3b8c3"/>
    <d v="2018-02-20T00:00:00"/>
    <d v="2018-03-14T00:00:00"/>
    <x v="15"/>
    <d v="2018-02-27T00:00:00"/>
    <x v="0"/>
    <d v="2018-02-26T00:00:00"/>
    <x v="1"/>
    <x v="2"/>
    <x v="0"/>
    <s v="1025f0e2d44d7041d6cf58b6550e0bfa"/>
    <x v="0"/>
    <x v="0"/>
    <x v="1"/>
    <n v="76.8"/>
    <n v="32.22"/>
    <n v="109.02"/>
    <s v="Estimated 2018-03-14; handed to carrier 2018-02-26; no delivery recorded by end of 2018-03-18"/>
    <x v="1"/>
    <x v="0"/>
    <x v="0"/>
    <x v="0"/>
  </r>
  <r>
    <n v="356"/>
    <x v="1"/>
    <x v="0"/>
    <x v="1"/>
    <x v="1"/>
    <s v="57e4399c47c85b49ab7fef194b4e14b7"/>
    <d v="2018-02-21T00:00:00"/>
    <d v="2018-03-14T00:00:00"/>
    <x v="15"/>
    <d v="2018-02-27T00:00:00"/>
    <x v="0"/>
    <d v="2018-02-26T00:00:00"/>
    <x v="1"/>
    <x v="1"/>
    <x v="0"/>
    <s v="bcc9dd23e2a8bd8267cf92b19304a1b9"/>
    <x v="0"/>
    <x v="0"/>
    <x v="1"/>
    <n v="72.900000000000006"/>
    <n v="15.26"/>
    <n v="88.16"/>
    <s v="Estimated 2018-03-14; handed to carrier 2018-02-26; no delivery recorded by end of 2018-03-18"/>
    <x v="1"/>
    <x v="0"/>
    <x v="0"/>
    <x v="0"/>
  </r>
  <r>
    <n v="357"/>
    <x v="1"/>
    <x v="0"/>
    <x v="1"/>
    <x v="1"/>
    <s v="adaab7718f21c04f40290e5afb01486b"/>
    <d v="2018-02-20T00:00:00"/>
    <d v="2018-03-14T00:00:00"/>
    <x v="15"/>
    <d v="2018-02-27T00:00:00"/>
    <x v="0"/>
    <d v="2018-02-23T00:00:00"/>
    <x v="1"/>
    <x v="1"/>
    <x v="0"/>
    <s v="bf84056e679dbe9c69929847a40e338f"/>
    <x v="0"/>
    <x v="0"/>
    <x v="2"/>
    <n v="45.36"/>
    <n v="15.1"/>
    <n v="60.46"/>
    <s v="Estimated 2018-03-14; handed to carrier 2018-02-23; no delivery recorded by end of 2018-03-18"/>
    <x v="1"/>
    <x v="0"/>
    <x v="0"/>
    <x v="0"/>
  </r>
  <r>
    <n v="358"/>
    <x v="1"/>
    <x v="0"/>
    <x v="1"/>
    <x v="1"/>
    <s v="f24bbebc2c8ba687b65f1be751dd8982"/>
    <d v="2018-02-20T00:00:00"/>
    <d v="2018-03-14T00:00:00"/>
    <x v="15"/>
    <d v="2018-02-27T00:00:00"/>
    <x v="0"/>
    <d v="2018-02-24T00:00:00"/>
    <x v="1"/>
    <x v="1"/>
    <x v="0"/>
    <s v="4e5725ba188db8252977a4f0227bd462"/>
    <x v="0"/>
    <x v="0"/>
    <x v="1"/>
    <n v="29.9"/>
    <n v="15.1"/>
    <n v="45"/>
    <s v="Estimated 2018-03-14; handed to carrier 2018-02-24; no delivery recorded by end of 2018-03-18"/>
    <x v="1"/>
    <x v="0"/>
    <x v="0"/>
    <x v="0"/>
  </r>
  <r>
    <n v="359"/>
    <x v="1"/>
    <x v="0"/>
    <x v="1"/>
    <x v="1"/>
    <s v="5f3cc66c9f5ac196a1f367c0fa52695f"/>
    <d v="2018-02-21T00:00:00"/>
    <d v="2018-03-14T00:00:00"/>
    <x v="15"/>
    <d v="2018-02-27T00:00:00"/>
    <x v="0"/>
    <d v="2018-02-22T00:00:00"/>
    <x v="1"/>
    <x v="1"/>
    <x v="0"/>
    <s v="16090f2ca825584b5a147ab24aa30c86"/>
    <x v="0"/>
    <x v="0"/>
    <x v="1"/>
    <n v="27.9"/>
    <n v="15.1"/>
    <n v="43"/>
    <s v="Estimated 2018-03-14; handed to carrier 2018-02-22; no delivery recorded by end of 2018-03-18"/>
    <x v="1"/>
    <x v="0"/>
    <x v="0"/>
    <x v="0"/>
  </r>
  <r>
    <n v="360"/>
    <x v="1"/>
    <x v="0"/>
    <x v="1"/>
    <x v="1"/>
    <s v="510bff1cf06be1143d3b6698df2fd486"/>
    <d v="2018-02-20T00:00:00"/>
    <d v="2018-03-14T00:00:00"/>
    <x v="15"/>
    <d v="2018-02-28T00:00:00"/>
    <x v="0"/>
    <d v="2018-02-21T00:00:00"/>
    <x v="1"/>
    <x v="1"/>
    <x v="0"/>
    <s v="b18dc380845b24038cfc48006478f099"/>
    <x v="0"/>
    <x v="0"/>
    <x v="1"/>
    <n v="389.9"/>
    <n v="16.48"/>
    <n v="406.38"/>
    <s v="Estimated 2018-03-14; handed to carrier 2018-02-21; no delivery recorded by end of 2018-03-18"/>
    <x v="1"/>
    <x v="0"/>
    <x v="0"/>
    <x v="0"/>
  </r>
  <r>
    <n v="361"/>
    <x v="1"/>
    <x v="0"/>
    <x v="1"/>
    <x v="1"/>
    <s v="fa5e15141bbda711d3cf04222db75d2b"/>
    <d v="2018-02-22T00:00:00"/>
    <d v="2018-03-14T00:00:00"/>
    <x v="15"/>
    <d v="2018-02-28T00:00:00"/>
    <x v="0"/>
    <d v="2018-02-26T00:00:00"/>
    <x v="1"/>
    <x v="1"/>
    <x v="0"/>
    <s v="4869f7a5dfa277a7dca6462dcf3b52b2"/>
    <x v="0"/>
    <x v="0"/>
    <x v="3"/>
    <n v="165"/>
    <n v="16.78"/>
    <n v="181.78"/>
    <s v="Estimated 2018-03-14; handed to carrier 2018-02-26; no delivery recorded by end of 2018-03-18"/>
    <x v="1"/>
    <x v="0"/>
    <x v="0"/>
    <x v="0"/>
  </r>
  <r>
    <n v="362"/>
    <x v="1"/>
    <x v="0"/>
    <x v="1"/>
    <x v="1"/>
    <s v="8711e162ef4e4e3a2e036a5ea880b844"/>
    <d v="2018-02-22T00:00:00"/>
    <d v="2018-03-14T00:00:00"/>
    <x v="15"/>
    <d v="2018-02-28T00:00:00"/>
    <x v="0"/>
    <d v="2018-03-07T00:00:00"/>
    <x v="1"/>
    <x v="1"/>
    <x v="0"/>
    <s v="7d13fca15225358621be4086e1eb0964"/>
    <x v="0"/>
    <x v="0"/>
    <x v="3"/>
    <n v="100"/>
    <n v="12.2"/>
    <n v="112.2"/>
    <s v="Estimated 2018-03-14; handed to carrier 2018-03-07; no delivery recorded by end of 2018-03-18"/>
    <x v="1"/>
    <x v="0"/>
    <x v="0"/>
    <x v="0"/>
  </r>
  <r>
    <n v="363"/>
    <x v="1"/>
    <x v="0"/>
    <x v="1"/>
    <x v="1"/>
    <s v="39730c5c34015c1ef1cc42708264b56d"/>
    <d v="2018-02-22T00:00:00"/>
    <d v="2018-03-14T00:00:00"/>
    <x v="15"/>
    <d v="2018-02-28T00:00:00"/>
    <x v="0"/>
    <d v="2018-03-02T00:00:00"/>
    <x v="1"/>
    <x v="4"/>
    <x v="0"/>
    <s v="d20b021d3efdf267a402c402a48ea64b"/>
    <x v="0"/>
    <x v="0"/>
    <x v="3"/>
    <n v="89.7"/>
    <n v="38.07"/>
    <n v="127.77"/>
    <s v="Estimated 2018-03-14; handed to carrier 2018-03-02; no delivery recorded by end of 2018-03-18"/>
    <x v="1"/>
    <x v="0"/>
    <x v="0"/>
    <x v="0"/>
  </r>
  <r>
    <n v="364"/>
    <x v="1"/>
    <x v="0"/>
    <x v="0"/>
    <x v="0"/>
    <s v="374bd3371c572eff1218edb0eb68cb96"/>
    <d v="2018-02-14T00:00:00"/>
    <d v="2018-03-14T00:00:00"/>
    <x v="15"/>
    <d v="2018-02-28T00:00:00"/>
    <x v="0"/>
    <m/>
    <x v="1"/>
    <x v="1"/>
    <x v="0"/>
    <s v="4c8b8048e33af2bf94f2eb547746a916"/>
    <x v="0"/>
    <x v="0"/>
    <x v="3"/>
    <n v="71.900000000000006"/>
    <n v="12"/>
    <n v="83.9"/>
    <s v="Estimated 2018-03-14; approved 2018-02-14; ship-by 2018-02-28; not handed to carrier by end of 2018-03-18"/>
    <x v="0"/>
    <x v="0"/>
    <x v="0"/>
    <x v="0"/>
  </r>
  <r>
    <n v="365"/>
    <x v="1"/>
    <x v="0"/>
    <x v="1"/>
    <x v="1"/>
    <s v="d1292ab43d93a1211d5e3f6589be78af"/>
    <d v="2018-02-22T00:00:00"/>
    <d v="2018-03-14T00:00:00"/>
    <x v="15"/>
    <d v="2018-02-28T00:00:00"/>
    <x v="0"/>
    <d v="2018-02-26T00:00:00"/>
    <x v="1"/>
    <x v="1"/>
    <x v="0"/>
    <s v="955fee9216a65b617aa5c0531780ce60"/>
    <x v="0"/>
    <x v="0"/>
    <x v="1"/>
    <n v="59.9"/>
    <n v="19.91"/>
    <n v="79.81"/>
    <s v="Estimated 2018-03-14; handed to carrier 2018-02-26; no delivery recorded by end of 2018-03-18"/>
    <x v="1"/>
    <x v="0"/>
    <x v="0"/>
    <x v="0"/>
  </r>
  <r>
    <n v="366"/>
    <x v="1"/>
    <x v="0"/>
    <x v="1"/>
    <x v="1"/>
    <s v="a05690d552685ceea5a59b90a278823d"/>
    <d v="2018-02-22T00:00:00"/>
    <d v="2018-03-14T00:00:00"/>
    <x v="15"/>
    <d v="2018-02-28T00:00:00"/>
    <x v="0"/>
    <d v="2018-02-22T00:00:00"/>
    <x v="1"/>
    <x v="1"/>
    <x v="0"/>
    <s v="cd68562d3f44870c08922d380acae552"/>
    <x v="0"/>
    <x v="0"/>
    <x v="3"/>
    <n v="25"/>
    <n v="11.85"/>
    <n v="36.85"/>
    <s v="Estimated 2018-03-14; handed to carrier 2018-02-22; no delivery recorded by end of 2018-03-18"/>
    <x v="1"/>
    <x v="0"/>
    <x v="0"/>
    <x v="0"/>
  </r>
  <r>
    <n v="367"/>
    <x v="1"/>
    <x v="0"/>
    <x v="1"/>
    <x v="1"/>
    <s v="469a464be162099fa2c0e8f1cfc871db"/>
    <d v="2018-02-21T00:00:00"/>
    <d v="2018-03-14T00:00:00"/>
    <x v="15"/>
    <d v="2018-02-28T00:00:00"/>
    <x v="0"/>
    <d v="2018-02-27T00:00:00"/>
    <x v="1"/>
    <x v="1"/>
    <x v="0"/>
    <s v="391fc6631aebcf3004804e51b40bcf1e"/>
    <x v="0"/>
    <x v="0"/>
    <x v="1"/>
    <n v="24.9"/>
    <n v="17.600000000000001"/>
    <n v="42.5"/>
    <s v="Estimated 2018-03-14; handed to carrier 2018-02-27; no delivery recorded by end of 2018-03-18"/>
    <x v="1"/>
    <x v="0"/>
    <x v="0"/>
    <x v="0"/>
  </r>
  <r>
    <n v="368"/>
    <x v="1"/>
    <x v="0"/>
    <x v="1"/>
    <x v="1"/>
    <s v="2d476d9a9af938c2ab76a4aefb7e74d7"/>
    <d v="2018-02-21T00:00:00"/>
    <d v="2018-03-14T00:00:00"/>
    <x v="15"/>
    <d v="2018-03-01T00:00:00"/>
    <x v="0"/>
    <d v="2018-02-26T00:00:00"/>
    <x v="1"/>
    <x v="1"/>
    <x v="0"/>
    <s v="00ee68308b45bc5e2660cd833c3f81cc"/>
    <x v="0"/>
    <x v="0"/>
    <x v="1"/>
    <n v="75"/>
    <n v="62.35"/>
    <n v="137.35"/>
    <s v="Estimated 2018-03-14; handed to carrier 2018-02-26; no delivery recorded by end of 2018-03-18"/>
    <x v="1"/>
    <x v="0"/>
    <x v="0"/>
    <x v="0"/>
  </r>
  <r>
    <n v="369"/>
    <x v="1"/>
    <x v="0"/>
    <x v="1"/>
    <x v="1"/>
    <s v="901db8b5147279a8318455a65fcd653e"/>
    <d v="2018-02-22T00:00:00"/>
    <d v="2018-03-14T00:00:00"/>
    <x v="15"/>
    <d v="2018-03-01T00:00:00"/>
    <x v="0"/>
    <d v="2018-02-26T00:00:00"/>
    <x v="1"/>
    <x v="1"/>
    <x v="0"/>
    <s v="8b321bb669392f5163d04c59e235e066"/>
    <x v="0"/>
    <x v="0"/>
    <x v="1"/>
    <n v="15"/>
    <n v="14.1"/>
    <n v="29.1"/>
    <s v="Estimated 2018-03-14; handed to carrier 2018-02-26; no delivery recorded by end of 2018-03-18"/>
    <x v="1"/>
    <x v="0"/>
    <x v="0"/>
    <x v="0"/>
  </r>
  <r>
    <n v="370"/>
    <x v="1"/>
    <x v="0"/>
    <x v="1"/>
    <x v="1"/>
    <s v="245d1537baa4ed68d968e3c0f2ca5d16"/>
    <d v="2018-02-11T00:00:00"/>
    <d v="2018-03-14T00:00:00"/>
    <x v="15"/>
    <d v="2018-03-02T00:00:00"/>
    <x v="0"/>
    <d v="2018-02-27T00:00:00"/>
    <x v="1"/>
    <x v="1"/>
    <x v="0"/>
    <s v="cee48807215b30a12ca2ca10ffb5f250"/>
    <x v="0"/>
    <x v="0"/>
    <x v="8"/>
    <n v="199.9"/>
    <n v="21.89"/>
    <n v="221.79"/>
    <s v="Estimated 2018-03-14; handed to carrier 2018-02-27; no delivery recorded by end of 2018-03-18"/>
    <x v="1"/>
    <x v="0"/>
    <x v="0"/>
    <x v="0"/>
  </r>
  <r>
    <n v="371"/>
    <x v="1"/>
    <x v="0"/>
    <x v="1"/>
    <x v="1"/>
    <s v="85d42749c9d00c658c40e73f8e4d667b"/>
    <d v="2018-03-02T00:00:00"/>
    <d v="2018-03-14T00:00:00"/>
    <x v="15"/>
    <d v="2018-03-08T00:00:00"/>
    <x v="0"/>
    <d v="2018-03-06T00:00:00"/>
    <x v="1"/>
    <x v="1"/>
    <x v="0"/>
    <s v="a416b6a846a11724393025641d4edd5e"/>
    <x v="0"/>
    <x v="0"/>
    <x v="3"/>
    <n v="183"/>
    <n v="12.49"/>
    <n v="195.49"/>
    <s v="Estimated 2018-03-14; handed to carrier 2018-03-06; no delivery recorded by end of 2018-03-18"/>
    <x v="1"/>
    <x v="0"/>
    <x v="0"/>
    <x v="0"/>
  </r>
  <r>
    <n v="372"/>
    <x v="1"/>
    <x v="0"/>
    <x v="1"/>
    <x v="1"/>
    <s v="5c2049caca936695cfa43805ebe7d8e3"/>
    <d v="2018-02-05T00:00:00"/>
    <d v="2018-03-15T00:00:00"/>
    <x v="16"/>
    <d v="2018-02-14T00:00:00"/>
    <x v="0"/>
    <d v="2018-02-07T00:00:00"/>
    <x v="1"/>
    <x v="1"/>
    <x v="0"/>
    <s v="cc419e0650a3c5ba77189a1882b7556a"/>
    <x v="0"/>
    <x v="0"/>
    <x v="6"/>
    <n v="23.99"/>
    <n v="25.63"/>
    <n v="49.62"/>
    <s v="Estimated 2018-03-15; handed to carrier 2018-02-07; no delivery recorded by end of 2018-03-18"/>
    <x v="1"/>
    <x v="0"/>
    <x v="0"/>
    <x v="0"/>
  </r>
  <r>
    <n v="373"/>
    <x v="1"/>
    <x v="0"/>
    <x v="1"/>
    <x v="1"/>
    <s v="fbdefc6748a086900f96b1713c6bb1ea"/>
    <d v="2018-02-11T00:00:00"/>
    <d v="2018-03-15T00:00:00"/>
    <x v="16"/>
    <d v="2018-02-15T00:00:00"/>
    <x v="0"/>
    <d v="2018-02-15T00:00:00"/>
    <x v="1"/>
    <x v="4"/>
    <x v="0"/>
    <s v="2e1a7d075abe038c1b2743005fe42ff1"/>
    <x v="0"/>
    <x v="0"/>
    <x v="6"/>
    <n v="299.7"/>
    <n v="87.3"/>
    <n v="387"/>
    <s v="Estimated 2018-03-15; handed to carrier 2018-02-15; no delivery recorded by end of 2018-03-18"/>
    <x v="1"/>
    <x v="0"/>
    <x v="0"/>
    <x v="0"/>
  </r>
  <r>
    <n v="374"/>
    <x v="1"/>
    <x v="0"/>
    <x v="1"/>
    <x v="1"/>
    <s v="9611ab69e91e4ac464dc5db706daf0e6"/>
    <d v="2018-02-12T00:00:00"/>
    <d v="2018-03-15T00:00:00"/>
    <x v="16"/>
    <d v="2018-02-16T00:00:00"/>
    <x v="0"/>
    <d v="2018-02-15T00:00:00"/>
    <x v="1"/>
    <x v="1"/>
    <x v="0"/>
    <s v="fa1c13f2614d7b5c4749cbc52fecda94"/>
    <x v="0"/>
    <x v="0"/>
    <x v="5"/>
    <n v="227.8"/>
    <n v="16.34"/>
    <n v="244.14"/>
    <s v="Estimated 2018-03-15; handed to carrier 2018-02-15; no delivery recorded by end of 2018-03-18"/>
    <x v="1"/>
    <x v="0"/>
    <x v="0"/>
    <x v="0"/>
  </r>
  <r>
    <n v="375"/>
    <x v="1"/>
    <x v="0"/>
    <x v="1"/>
    <x v="1"/>
    <s v="3359d2d84d5a8f9b5f53c65f926c5ec1"/>
    <d v="2018-02-12T00:00:00"/>
    <d v="2018-03-15T00:00:00"/>
    <x v="16"/>
    <d v="2018-02-16T00:00:00"/>
    <x v="0"/>
    <d v="2018-02-17T00:00:00"/>
    <x v="1"/>
    <x v="1"/>
    <x v="0"/>
    <s v="8160255418d5aaa7dbdc9f4c64ebda44"/>
    <x v="0"/>
    <x v="0"/>
    <x v="5"/>
    <n v="79.900000000000006"/>
    <n v="16.32"/>
    <n v="96.22"/>
    <s v="Estimated 2018-03-15; handed to carrier 2018-02-17; no delivery recorded by end of 2018-03-18"/>
    <x v="1"/>
    <x v="0"/>
    <x v="0"/>
    <x v="0"/>
  </r>
  <r>
    <n v="376"/>
    <x v="1"/>
    <x v="0"/>
    <x v="1"/>
    <x v="1"/>
    <s v="e2efd05161881ff66ece867b9221e6df"/>
    <d v="2018-02-12T00:00:00"/>
    <d v="2018-03-15T00:00:00"/>
    <x v="16"/>
    <d v="2018-02-18T00:00:00"/>
    <x v="0"/>
    <d v="2018-02-20T00:00:00"/>
    <x v="1"/>
    <x v="2"/>
    <x v="0"/>
    <s v="1f50f920176fa81dab994f9023523100"/>
    <x v="0"/>
    <x v="0"/>
    <x v="22"/>
    <n v="99.8"/>
    <n v="75.8"/>
    <n v="175.6"/>
    <s v="Estimated 2018-03-15; handed to carrier 2018-02-20; no delivery recorded by end of 2018-03-18"/>
    <x v="1"/>
    <x v="0"/>
    <x v="0"/>
    <x v="0"/>
  </r>
  <r>
    <n v="377"/>
    <x v="1"/>
    <x v="0"/>
    <x v="1"/>
    <x v="1"/>
    <s v="d23957cc89dc81d6073de66716d2cf82"/>
    <d v="2018-02-07T00:00:00"/>
    <d v="2018-03-15T00:00:00"/>
    <x v="16"/>
    <d v="2018-02-19T00:00:00"/>
    <x v="0"/>
    <d v="2018-02-14T00:00:00"/>
    <x v="1"/>
    <x v="2"/>
    <x v="0"/>
    <s v="1c68394e931a64f90ea236c5ea590300"/>
    <x v="0"/>
    <x v="3"/>
    <x v="2"/>
    <n v="288.82"/>
    <n v="34.9"/>
    <n v="323.72000000000003"/>
    <s v="Estimated 2018-03-15; handed to carrier 2018-02-14; no delivery recorded by end of 2018-03-18"/>
    <x v="1"/>
    <x v="0"/>
    <x v="0"/>
    <x v="0"/>
  </r>
  <r>
    <n v="378"/>
    <x v="1"/>
    <x v="0"/>
    <x v="1"/>
    <x v="1"/>
    <s v="f07ffa8133ca1dcbc015a9c0ee98c872"/>
    <d v="2018-02-13T00:00:00"/>
    <d v="2018-03-15T00:00:00"/>
    <x v="16"/>
    <d v="2018-02-19T00:00:00"/>
    <x v="0"/>
    <d v="2018-02-19T00:00:00"/>
    <x v="1"/>
    <x v="1"/>
    <x v="0"/>
    <s v="4b9750c8ad28220fe6702d4ecb7c898f"/>
    <x v="0"/>
    <x v="0"/>
    <x v="4"/>
    <n v="134.9"/>
    <n v="18.510000000000002"/>
    <n v="153.41"/>
    <s v="Estimated 2018-03-15; handed to carrier 2018-02-19; no delivery recorded by end of 2018-03-18"/>
    <x v="1"/>
    <x v="0"/>
    <x v="0"/>
    <x v="0"/>
  </r>
  <r>
    <n v="379"/>
    <x v="1"/>
    <x v="0"/>
    <x v="1"/>
    <x v="1"/>
    <s v="d8b354d53fff40dcc80a7e64dbfc2878"/>
    <d v="2018-02-13T00:00:00"/>
    <d v="2018-03-15T00:00:00"/>
    <x v="16"/>
    <d v="2018-02-19T00:00:00"/>
    <x v="0"/>
    <d v="2018-02-14T00:00:00"/>
    <x v="1"/>
    <x v="1"/>
    <x v="0"/>
    <s v="6a8b085f816a1f75f92dbac6eb545f8f"/>
    <x v="0"/>
    <x v="0"/>
    <x v="13"/>
    <n v="54.9"/>
    <n v="25.66"/>
    <n v="80.56"/>
    <s v="Estimated 2018-03-15; handed to carrier 2018-02-14; no delivery recorded by end of 2018-03-18"/>
    <x v="1"/>
    <x v="0"/>
    <x v="0"/>
    <x v="0"/>
  </r>
  <r>
    <n v="380"/>
    <x v="1"/>
    <x v="0"/>
    <x v="1"/>
    <x v="1"/>
    <s v="2a103014bffb0e98ec7019d0c7856548"/>
    <d v="2018-02-07T00:00:00"/>
    <d v="2018-03-15T00:00:00"/>
    <x v="16"/>
    <d v="2018-02-20T00:00:00"/>
    <x v="0"/>
    <d v="2018-02-16T00:00:00"/>
    <x v="1"/>
    <x v="1"/>
    <x v="0"/>
    <s v="1c68394e931a64f90ea236c5ea590300"/>
    <x v="0"/>
    <x v="3"/>
    <x v="1"/>
    <n v="76.900000000000006"/>
    <n v="16.98"/>
    <n v="93.88"/>
    <s v="Estimated 2018-03-15; handed to carrier 2018-02-16; no delivery recorded by end of 2018-03-18"/>
    <x v="1"/>
    <x v="0"/>
    <x v="0"/>
    <x v="0"/>
  </r>
  <r>
    <n v="381"/>
    <x v="1"/>
    <x v="0"/>
    <x v="1"/>
    <x v="1"/>
    <s v="9707e5dd2b32ab5cc39155a27eb3d0ec"/>
    <d v="2018-02-08T00:00:00"/>
    <d v="2018-03-15T00:00:00"/>
    <x v="16"/>
    <d v="2018-02-20T00:00:00"/>
    <x v="0"/>
    <d v="2018-02-21T00:00:00"/>
    <x v="1"/>
    <x v="1"/>
    <x v="0"/>
    <s v="b55638ad525e906c698fa2ce742c1742"/>
    <x v="0"/>
    <x v="5"/>
    <x v="1"/>
    <n v="59"/>
    <n v="17.98"/>
    <n v="76.98"/>
    <s v="Estimated 2018-03-15; handed to carrier 2018-02-21; no delivery recorded by end of 2018-03-18"/>
    <x v="1"/>
    <x v="0"/>
    <x v="0"/>
    <x v="0"/>
  </r>
  <r>
    <n v="382"/>
    <x v="1"/>
    <x v="0"/>
    <x v="1"/>
    <x v="1"/>
    <s v="160785e29f32dad981f631989203a58b"/>
    <d v="2018-02-15T00:00:00"/>
    <d v="2018-03-15T00:00:00"/>
    <x v="16"/>
    <d v="2018-02-21T00:00:00"/>
    <x v="0"/>
    <d v="2018-02-17T00:00:00"/>
    <x v="1"/>
    <x v="1"/>
    <x v="0"/>
    <s v="0dd184061fb0eaa7ca37932c68ab91c5"/>
    <x v="0"/>
    <x v="0"/>
    <x v="15"/>
    <n v="120"/>
    <n v="28.22"/>
    <n v="148.22"/>
    <s v="Estimated 2018-03-15; handed to carrier 2018-02-17; no delivery recorded by end of 2018-03-18"/>
    <x v="1"/>
    <x v="0"/>
    <x v="0"/>
    <x v="0"/>
  </r>
  <r>
    <n v="383"/>
    <x v="1"/>
    <x v="0"/>
    <x v="1"/>
    <x v="1"/>
    <s v="9781e9a5064f50e5bb4ce028b9f1963b"/>
    <d v="2018-02-17T00:00:00"/>
    <d v="2018-03-15T00:00:00"/>
    <x v="16"/>
    <d v="2018-02-22T00:00:00"/>
    <x v="0"/>
    <d v="2018-02-23T00:00:00"/>
    <x v="1"/>
    <x v="1"/>
    <x v="0"/>
    <s v="7d13fca15225358621be4086e1eb0964"/>
    <x v="0"/>
    <x v="0"/>
    <x v="1"/>
    <n v="600"/>
    <n v="125.99"/>
    <n v="725.99"/>
    <s v="Estimated 2018-03-15; handed to carrier 2018-02-23; no delivery recorded by end of 2018-03-18"/>
    <x v="1"/>
    <x v="0"/>
    <x v="0"/>
    <x v="0"/>
  </r>
  <r>
    <n v="384"/>
    <x v="1"/>
    <x v="0"/>
    <x v="1"/>
    <x v="1"/>
    <s v="5533f1edcb0023c063b64b627abc4024"/>
    <d v="2018-02-15T00:00:00"/>
    <d v="2018-03-15T00:00:00"/>
    <x v="16"/>
    <d v="2018-02-22T00:00:00"/>
    <x v="0"/>
    <d v="2018-02-19T00:00:00"/>
    <x v="1"/>
    <x v="1"/>
    <x v="0"/>
    <s v="b33e7c55446eabf8fe1a42d037ac7d6d"/>
    <x v="0"/>
    <x v="0"/>
    <x v="1"/>
    <n v="255"/>
    <n v="16.54"/>
    <n v="271.54000000000002"/>
    <s v="Estimated 2018-03-15; handed to carrier 2018-02-19; no delivery recorded by end of 2018-03-18"/>
    <x v="1"/>
    <x v="0"/>
    <x v="0"/>
    <x v="0"/>
  </r>
  <r>
    <n v="385"/>
    <x v="1"/>
    <x v="0"/>
    <x v="1"/>
    <x v="1"/>
    <s v="38edd38dc17b36d7fd7554100453f1bd"/>
    <d v="2018-02-16T00:00:00"/>
    <d v="2018-03-15T00:00:00"/>
    <x v="16"/>
    <d v="2018-02-22T00:00:00"/>
    <x v="0"/>
    <d v="2018-02-16T00:00:00"/>
    <x v="1"/>
    <x v="1"/>
    <x v="0"/>
    <s v="004c9cd9d87a3c30c522c48c4fc07416"/>
    <x v="0"/>
    <x v="0"/>
    <x v="1"/>
    <n v="179.8"/>
    <n v="18.510000000000002"/>
    <n v="198.31"/>
    <s v="Estimated 2018-03-15; handed to carrier 2018-02-16; no delivery recorded by end of 2018-03-18"/>
    <x v="1"/>
    <x v="0"/>
    <x v="0"/>
    <x v="0"/>
  </r>
  <r>
    <n v="386"/>
    <x v="1"/>
    <x v="0"/>
    <x v="1"/>
    <x v="1"/>
    <s v="66fda4a54fb43b9ec8ef4e032eaa7e54"/>
    <d v="2018-02-11T00:00:00"/>
    <d v="2018-03-15T00:00:00"/>
    <x v="16"/>
    <d v="2018-02-22T00:00:00"/>
    <x v="0"/>
    <d v="2018-02-22T00:00:00"/>
    <x v="1"/>
    <x v="1"/>
    <x v="0"/>
    <s v="440dd6ab244315c632130ecfb63827b1"/>
    <x v="0"/>
    <x v="0"/>
    <x v="12"/>
    <n v="114.9"/>
    <n v="33.25"/>
    <n v="148.15"/>
    <s v="Estimated 2018-03-15; handed to carrier 2018-02-22; no delivery recorded by end of 2018-03-18"/>
    <x v="1"/>
    <x v="0"/>
    <x v="0"/>
    <x v="0"/>
  </r>
  <r>
    <n v="387"/>
    <x v="1"/>
    <x v="0"/>
    <x v="1"/>
    <x v="1"/>
    <s v="3a02f2abd527b2a2b0504aa48bc1b7c2"/>
    <d v="2018-02-15T00:00:00"/>
    <d v="2018-03-15T00:00:00"/>
    <x v="16"/>
    <d v="2018-02-22T00:00:00"/>
    <x v="0"/>
    <d v="2018-02-20T00:00:00"/>
    <x v="1"/>
    <x v="1"/>
    <x v="0"/>
    <s v="1835b56ce799e6a4dc4eddc053f04066"/>
    <x v="0"/>
    <x v="0"/>
    <x v="5"/>
    <n v="56.99"/>
    <n v="16.16"/>
    <n v="73.150000000000006"/>
    <s v="Estimated 2018-03-15; handed to carrier 2018-02-20; no delivery recorded by end of 2018-03-18"/>
    <x v="1"/>
    <x v="0"/>
    <x v="0"/>
    <x v="0"/>
  </r>
  <r>
    <n v="388"/>
    <x v="1"/>
    <x v="0"/>
    <x v="1"/>
    <x v="1"/>
    <s v="5b9f98f4f7f84913dfb746a86bb11ab1"/>
    <d v="2018-02-18T00:00:00"/>
    <d v="2018-03-15T00:00:00"/>
    <x v="16"/>
    <d v="2018-02-22T00:00:00"/>
    <x v="0"/>
    <d v="2018-02-21T00:00:00"/>
    <x v="1"/>
    <x v="1"/>
    <x v="0"/>
    <s v="e9779976487b77c6d4ac45f75ec7afe9"/>
    <x v="0"/>
    <x v="0"/>
    <x v="10"/>
    <n v="47.49"/>
    <n v="16.11"/>
    <n v="63.6"/>
    <s v="Estimated 2018-03-15; handed to carrier 2018-02-21; no delivery recorded by end of 2018-03-18"/>
    <x v="1"/>
    <x v="0"/>
    <x v="0"/>
    <x v="0"/>
  </r>
  <r>
    <n v="389"/>
    <x v="1"/>
    <x v="0"/>
    <x v="1"/>
    <x v="1"/>
    <s v="ac2da4ffeb7023f0237c1f1418c78916"/>
    <d v="2018-02-18T00:00:00"/>
    <d v="2018-03-15T00:00:00"/>
    <x v="16"/>
    <d v="2018-02-22T00:00:00"/>
    <x v="0"/>
    <d v="2018-03-05T00:00:00"/>
    <x v="1"/>
    <x v="1"/>
    <x v="0"/>
    <s v="e9779976487b77c6d4ac45f75ec7afe9"/>
    <x v="0"/>
    <x v="0"/>
    <x v="8"/>
    <n v="39.49"/>
    <n v="15.1"/>
    <n v="54.59"/>
    <s v="Estimated 2018-03-15; handed to carrier 2018-03-05; no delivery recorded by end of 2018-03-18"/>
    <x v="1"/>
    <x v="0"/>
    <x v="0"/>
    <x v="0"/>
  </r>
  <r>
    <n v="390"/>
    <x v="1"/>
    <x v="0"/>
    <x v="1"/>
    <x v="1"/>
    <s v="c2926e31138df3c04db3e35ee72471ff"/>
    <d v="2018-02-16T00:00:00"/>
    <d v="2018-03-15T00:00:00"/>
    <x v="16"/>
    <d v="2018-02-22T00:00:00"/>
    <x v="0"/>
    <d v="2018-02-20T00:00:00"/>
    <x v="1"/>
    <x v="1"/>
    <x v="0"/>
    <s v="7008613ea464bad5cb9b83456e1e6a8f"/>
    <x v="0"/>
    <x v="5"/>
    <x v="3"/>
    <n v="29.5"/>
    <n v="16.11"/>
    <n v="45.61"/>
    <s v="Estimated 2018-03-15; handed to carrier 2018-02-20; no delivery recorded by end of 2018-03-18"/>
    <x v="1"/>
    <x v="0"/>
    <x v="0"/>
    <x v="0"/>
  </r>
  <r>
    <n v="391"/>
    <x v="1"/>
    <x v="0"/>
    <x v="1"/>
    <x v="1"/>
    <s v="be1693153a2546fb409f9520c6e83703"/>
    <d v="2018-02-15T00:00:00"/>
    <d v="2018-03-15T00:00:00"/>
    <x v="16"/>
    <d v="2018-02-22T00:00:00"/>
    <x v="0"/>
    <d v="2018-02-22T00:00:00"/>
    <x v="1"/>
    <x v="1"/>
    <x v="0"/>
    <s v="8b321bb669392f5163d04c59e235e066"/>
    <x v="0"/>
    <x v="0"/>
    <x v="0"/>
    <n v="13.65"/>
    <n v="21.15"/>
    <n v="34.799999999999997"/>
    <s v="Estimated 2018-03-15; handed to carrier 2018-02-22; no delivery recorded by end of 2018-03-18"/>
    <x v="1"/>
    <x v="0"/>
    <x v="0"/>
    <x v="0"/>
  </r>
  <r>
    <n v="392"/>
    <x v="1"/>
    <x v="0"/>
    <x v="1"/>
    <x v="1"/>
    <s v="13a60be94bc36bf7c5f1e0a849cdd6e4"/>
    <d v="2018-02-19T00:00:00"/>
    <d v="2018-03-15T00:00:00"/>
    <x v="16"/>
    <d v="2018-02-23T00:00:00"/>
    <x v="0"/>
    <d v="2018-02-20T00:00:00"/>
    <x v="1"/>
    <x v="1"/>
    <x v="0"/>
    <s v="5343d0649eca2a983820bfe93fc4d17e"/>
    <x v="0"/>
    <x v="0"/>
    <x v="1"/>
    <n v="181.62"/>
    <n v="17.52"/>
    <n v="199.14"/>
    <s v="Estimated 2018-03-15; handed to carrier 2018-02-20; no delivery recorded by end of 2018-03-18"/>
    <x v="1"/>
    <x v="0"/>
    <x v="0"/>
    <x v="0"/>
  </r>
  <r>
    <n v="393"/>
    <x v="1"/>
    <x v="0"/>
    <x v="1"/>
    <x v="1"/>
    <s v="2cfc79d9582e9135c0a9b61fa60e6b21"/>
    <d v="2018-02-19T00:00:00"/>
    <d v="2018-03-15T00:00:00"/>
    <x v="16"/>
    <d v="2018-02-23T00:00:00"/>
    <x v="0"/>
    <d v="2018-02-20T00:00:00"/>
    <x v="1"/>
    <x v="1"/>
    <x v="0"/>
    <s v="dbc22125167c298ef99da25668e1011f"/>
    <x v="0"/>
    <x v="1"/>
    <x v="4"/>
    <n v="59.9"/>
    <n v="19.66"/>
    <n v="79.56"/>
    <s v="Estimated 2018-03-15; handed to carrier 2018-02-20; no delivery recorded by end of 2018-03-18"/>
    <x v="1"/>
    <x v="0"/>
    <x v="0"/>
    <x v="0"/>
  </r>
  <r>
    <n v="394"/>
    <x v="1"/>
    <x v="0"/>
    <x v="1"/>
    <x v="1"/>
    <s v="cf66a791440b22e6e21c4c339d07c001"/>
    <d v="2018-02-19T00:00:00"/>
    <d v="2018-03-15T00:00:00"/>
    <x v="16"/>
    <d v="2018-02-25T00:00:00"/>
    <x v="0"/>
    <d v="2018-02-26T00:00:00"/>
    <x v="1"/>
    <x v="1"/>
    <x v="0"/>
    <s v="8b321bb669392f5163d04c59e235e066"/>
    <x v="0"/>
    <x v="0"/>
    <x v="21"/>
    <n v="13.65"/>
    <n v="15.1"/>
    <n v="28.75"/>
    <s v="Estimated 2018-03-15; handed to carrier 2018-02-26; no delivery recorded by end of 2018-03-18"/>
    <x v="1"/>
    <x v="0"/>
    <x v="0"/>
    <x v="0"/>
  </r>
  <r>
    <n v="395"/>
    <x v="1"/>
    <x v="0"/>
    <x v="1"/>
    <x v="1"/>
    <s v="514ed457190c903720b7fd33660c486d"/>
    <d v="2018-02-20T00:00:00"/>
    <d v="2018-03-15T00:00:00"/>
    <x v="16"/>
    <d v="2018-02-26T00:00:00"/>
    <x v="0"/>
    <d v="2018-02-21T00:00:00"/>
    <x v="1"/>
    <x v="1"/>
    <x v="0"/>
    <s v="b33e7c55446eabf8fe1a42d037ac7d6d"/>
    <x v="0"/>
    <x v="0"/>
    <x v="1"/>
    <n v="349"/>
    <n v="17.190000000000001"/>
    <n v="366.19"/>
    <s v="Estimated 2018-03-15; handed to carrier 2018-02-21; no delivery recorded by end of 2018-03-18"/>
    <x v="1"/>
    <x v="0"/>
    <x v="0"/>
    <x v="0"/>
  </r>
  <r>
    <n v="396"/>
    <x v="1"/>
    <x v="0"/>
    <x v="1"/>
    <x v="1"/>
    <s v="d87b1839583018f4810f6dc5b3a273e8"/>
    <d v="2018-02-19T00:00:00"/>
    <d v="2018-03-15T00:00:00"/>
    <x v="16"/>
    <d v="2018-02-26T00:00:00"/>
    <x v="0"/>
    <d v="2018-02-22T00:00:00"/>
    <x v="1"/>
    <x v="1"/>
    <x v="0"/>
    <s v="440dd6ab244315c632130ecfb63827b1"/>
    <x v="0"/>
    <x v="0"/>
    <x v="4"/>
    <n v="170"/>
    <n v="20.43"/>
    <n v="190.43"/>
    <s v="Estimated 2018-03-15; handed to carrier 2018-02-22; no delivery recorded by end of 2018-03-18"/>
    <x v="1"/>
    <x v="0"/>
    <x v="0"/>
    <x v="0"/>
  </r>
  <r>
    <n v="397"/>
    <x v="1"/>
    <x v="0"/>
    <x v="1"/>
    <x v="1"/>
    <s v="e3667abef962f425cb19e50231a2456f"/>
    <d v="2018-02-17T00:00:00"/>
    <d v="2018-03-15T00:00:00"/>
    <x v="16"/>
    <d v="2018-02-26T00:00:00"/>
    <x v="0"/>
    <d v="2018-02-20T00:00:00"/>
    <x v="1"/>
    <x v="1"/>
    <x v="0"/>
    <s v="a066df7361163e7ddc5d7452dd17448b"/>
    <x v="0"/>
    <x v="0"/>
    <x v="10"/>
    <n v="59.9"/>
    <n v="15.17"/>
    <n v="75.069999999999993"/>
    <s v="Estimated 2018-03-15; handed to carrier 2018-02-20; no delivery recorded by end of 2018-03-18"/>
    <x v="1"/>
    <x v="0"/>
    <x v="0"/>
    <x v="0"/>
  </r>
  <r>
    <n v="398"/>
    <x v="1"/>
    <x v="0"/>
    <x v="1"/>
    <x v="1"/>
    <s v="53ec6e6945a5e805d1d8a58329b8e693"/>
    <d v="2018-02-20T00:00:00"/>
    <d v="2018-03-15T00:00:00"/>
    <x v="16"/>
    <d v="2018-02-26T00:00:00"/>
    <x v="0"/>
    <d v="2018-02-27T00:00:00"/>
    <x v="1"/>
    <x v="1"/>
    <x v="0"/>
    <s v="35fb511489d9ee3ee27a76debce9df06"/>
    <x v="0"/>
    <x v="3"/>
    <x v="1"/>
    <n v="35"/>
    <n v="17.920000000000002"/>
    <n v="52.92"/>
    <s v="Estimated 2018-03-15; handed to carrier 2018-02-27; no delivery recorded by end of 2018-03-18"/>
    <x v="1"/>
    <x v="0"/>
    <x v="0"/>
    <x v="0"/>
  </r>
  <r>
    <n v="399"/>
    <x v="1"/>
    <x v="0"/>
    <x v="1"/>
    <x v="1"/>
    <s v="b5e736024d63e27310ce4f9bc03fbc7c"/>
    <d v="2018-02-21T00:00:00"/>
    <d v="2018-03-15T00:00:00"/>
    <x v="16"/>
    <d v="2018-02-27T00:00:00"/>
    <x v="0"/>
    <d v="2018-02-23T00:00:00"/>
    <x v="1"/>
    <x v="1"/>
    <x v="0"/>
    <s v="e5a38146df062edaf55c38afa99e42dc"/>
    <x v="0"/>
    <x v="0"/>
    <x v="8"/>
    <n v="299.89999999999998"/>
    <n v="18.350000000000001"/>
    <n v="318.25"/>
    <s v="Estimated 2018-03-15; handed to carrier 2018-02-23; no delivery recorded by end of 2018-03-18"/>
    <x v="1"/>
    <x v="0"/>
    <x v="0"/>
    <x v="0"/>
  </r>
  <r>
    <n v="400"/>
    <x v="1"/>
    <x v="0"/>
    <x v="1"/>
    <x v="1"/>
    <s v="4d38bf00b95dbf4dcf2820177584ade9"/>
    <d v="2018-02-21T00:00:00"/>
    <d v="2018-03-15T00:00:00"/>
    <x v="16"/>
    <d v="2018-02-27T00:00:00"/>
    <x v="0"/>
    <d v="2018-02-26T00:00:00"/>
    <x v="1"/>
    <x v="1"/>
    <x v="0"/>
    <s v="a3e9a2c700480d9bb01fba070ba80a0e"/>
    <x v="0"/>
    <x v="0"/>
    <x v="1"/>
    <n v="140"/>
    <n v="18.23"/>
    <n v="158.22999999999999"/>
    <s v="Estimated 2018-03-15; handed to carrier 2018-02-26; no delivery recorded by end of 2018-03-18"/>
    <x v="1"/>
    <x v="0"/>
    <x v="0"/>
    <x v="0"/>
  </r>
  <r>
    <n v="401"/>
    <x v="1"/>
    <x v="0"/>
    <x v="1"/>
    <x v="1"/>
    <s v="6f56d701fdaa7fc3575ddda3bed5fbbb"/>
    <d v="2018-02-16T00:00:00"/>
    <d v="2018-03-15T00:00:00"/>
    <x v="16"/>
    <d v="2018-02-27T00:00:00"/>
    <x v="0"/>
    <d v="2018-02-22T00:00:00"/>
    <x v="1"/>
    <x v="1"/>
    <x v="0"/>
    <s v="8160255418d5aaa7dbdc9f4c64ebda44"/>
    <x v="0"/>
    <x v="0"/>
    <x v="6"/>
    <n v="114.9"/>
    <n v="29.2"/>
    <n v="144.1"/>
    <s v="Estimated 2018-03-15; handed to carrier 2018-02-22; no delivery recorded by end of 2018-03-18"/>
    <x v="1"/>
    <x v="0"/>
    <x v="0"/>
    <x v="0"/>
  </r>
  <r>
    <n v="402"/>
    <x v="1"/>
    <x v="0"/>
    <x v="1"/>
    <x v="1"/>
    <s v="41fecd3ee080963d54b99007e1393f97"/>
    <d v="2018-02-21T00:00:00"/>
    <d v="2018-03-15T00:00:00"/>
    <x v="16"/>
    <d v="2018-02-27T00:00:00"/>
    <x v="0"/>
    <d v="2018-02-26T00:00:00"/>
    <x v="1"/>
    <x v="1"/>
    <x v="0"/>
    <s v="8f2ce03f928b567e3d56181ae20ae952"/>
    <x v="0"/>
    <x v="0"/>
    <x v="9"/>
    <n v="99.9"/>
    <n v="20.190000000000001"/>
    <n v="120.09"/>
    <s v="Estimated 2018-03-15; handed to carrier 2018-02-26; no delivery recorded by end of 2018-03-18"/>
    <x v="1"/>
    <x v="0"/>
    <x v="0"/>
    <x v="0"/>
  </r>
  <r>
    <n v="403"/>
    <x v="1"/>
    <x v="0"/>
    <x v="1"/>
    <x v="1"/>
    <s v="cd94dbdc801da0cd93b0c8f33663973d"/>
    <d v="2018-02-21T00:00:00"/>
    <d v="2018-03-15T00:00:00"/>
    <x v="16"/>
    <d v="2018-02-27T00:00:00"/>
    <x v="0"/>
    <d v="2018-02-24T00:00:00"/>
    <x v="1"/>
    <x v="1"/>
    <x v="0"/>
    <s v="f457c46070d02cadd8a68551231220dd"/>
    <x v="0"/>
    <x v="3"/>
    <x v="3"/>
    <n v="68.900000000000006"/>
    <n v="12.61"/>
    <n v="81.510000000000005"/>
    <s v="Estimated 2018-03-15; handed to carrier 2018-02-24; no delivery recorded by end of 2018-03-18"/>
    <x v="1"/>
    <x v="0"/>
    <x v="0"/>
    <x v="0"/>
  </r>
  <r>
    <n v="404"/>
    <x v="1"/>
    <x v="0"/>
    <x v="1"/>
    <x v="1"/>
    <s v="226bdeb6252bfee90f63517f430be2e9"/>
    <d v="2018-02-21T00:00:00"/>
    <d v="2018-03-15T00:00:00"/>
    <x v="16"/>
    <d v="2018-02-27T00:00:00"/>
    <x v="0"/>
    <d v="2018-02-23T00:00:00"/>
    <x v="1"/>
    <x v="2"/>
    <x v="0"/>
    <s v="324583d68897f5ddbaf38f6248322176"/>
    <x v="0"/>
    <x v="0"/>
    <x v="1"/>
    <n v="56"/>
    <n v="30.2"/>
    <n v="86.2"/>
    <s v="Estimated 2018-03-15; handed to carrier 2018-02-23; no delivery recorded by end of 2018-03-18"/>
    <x v="1"/>
    <x v="0"/>
    <x v="0"/>
    <x v="0"/>
  </r>
  <r>
    <n v="405"/>
    <x v="1"/>
    <x v="0"/>
    <x v="1"/>
    <x v="1"/>
    <s v="c801ee070159af89f5ce2b8c03e9e032"/>
    <d v="2018-02-22T00:00:00"/>
    <d v="2018-03-15T00:00:00"/>
    <x v="16"/>
    <d v="2018-02-28T00:00:00"/>
    <x v="0"/>
    <d v="2018-02-26T00:00:00"/>
    <x v="1"/>
    <x v="1"/>
    <x v="0"/>
    <s v="7ad32824caee82087b3e2e5f33b1bf32"/>
    <x v="0"/>
    <x v="0"/>
    <x v="1"/>
    <n v="299"/>
    <n v="16.84"/>
    <n v="315.83999999999997"/>
    <s v="Estimated 2018-03-15; handed to carrier 2018-02-26; no delivery recorded by end of 2018-03-18"/>
    <x v="1"/>
    <x v="0"/>
    <x v="0"/>
    <x v="0"/>
  </r>
  <r>
    <n v="406"/>
    <x v="1"/>
    <x v="0"/>
    <x v="1"/>
    <x v="1"/>
    <s v="3b2306ebbd3f8e2923984f42b2c03228"/>
    <d v="2018-02-22T00:00:00"/>
    <d v="2018-03-15T00:00:00"/>
    <x v="16"/>
    <d v="2018-02-28T00:00:00"/>
    <x v="0"/>
    <d v="2018-02-26T00:00:00"/>
    <x v="1"/>
    <x v="1"/>
    <x v="0"/>
    <s v="4869f7a5dfa277a7dca6462dcf3b52b2"/>
    <x v="0"/>
    <x v="0"/>
    <x v="3"/>
    <n v="165"/>
    <n v="16.78"/>
    <n v="181.78"/>
    <s v="Estimated 2018-03-15; handed to carrier 2018-02-26; no delivery recorded by end of 2018-03-18"/>
    <x v="1"/>
    <x v="0"/>
    <x v="0"/>
    <x v="0"/>
  </r>
  <r>
    <n v="407"/>
    <x v="1"/>
    <x v="0"/>
    <x v="1"/>
    <x v="1"/>
    <s v="ab71e5dff0ed652f1559e1860391bd22"/>
    <d v="2018-02-22T00:00:00"/>
    <d v="2018-03-15T00:00:00"/>
    <x v="16"/>
    <d v="2018-02-28T00:00:00"/>
    <x v="0"/>
    <d v="2018-02-27T00:00:00"/>
    <x v="1"/>
    <x v="1"/>
    <x v="0"/>
    <s v="8e8a7ce9f2f970dc00e2acf6f6e199f6"/>
    <x v="0"/>
    <x v="4"/>
    <x v="3"/>
    <n v="135"/>
    <n v="14.7"/>
    <n v="149.69999999999999"/>
    <s v="Estimated 2018-03-15; handed to carrier 2018-02-27; no delivery recorded by end of 2018-03-18"/>
    <x v="1"/>
    <x v="0"/>
    <x v="0"/>
    <x v="0"/>
  </r>
  <r>
    <n v="408"/>
    <x v="1"/>
    <x v="0"/>
    <x v="1"/>
    <x v="1"/>
    <s v="616349dfee9e27679881b25bfc3af335"/>
    <d v="2018-02-22T00:00:00"/>
    <d v="2018-03-15T00:00:00"/>
    <x v="16"/>
    <d v="2018-02-28T00:00:00"/>
    <x v="0"/>
    <d v="2018-02-22T00:00:00"/>
    <x v="1"/>
    <x v="1"/>
    <x v="0"/>
    <s v="6fc26fe110feebd80a433e1f012a84f9"/>
    <x v="0"/>
    <x v="0"/>
    <x v="1"/>
    <n v="59"/>
    <n v="16.170000000000002"/>
    <n v="75.17"/>
    <s v="Estimated 2018-03-15; handed to carrier 2018-02-22; no delivery recorded by end of 2018-03-18"/>
    <x v="1"/>
    <x v="0"/>
    <x v="0"/>
    <x v="0"/>
  </r>
  <r>
    <n v="409"/>
    <x v="1"/>
    <x v="0"/>
    <x v="1"/>
    <x v="1"/>
    <s v="39f428ffba2a9207ffb6406237ffe25a"/>
    <d v="2018-02-22T00:00:00"/>
    <d v="2018-03-15T00:00:00"/>
    <x v="16"/>
    <d v="2018-02-28T00:00:00"/>
    <x v="0"/>
    <d v="2018-02-27T00:00:00"/>
    <x v="1"/>
    <x v="1"/>
    <x v="0"/>
    <s v="a6fe7de3d16f6149ffe280349a8535a0"/>
    <x v="0"/>
    <x v="0"/>
    <x v="1"/>
    <n v="49.9"/>
    <n v="15.1"/>
    <n v="65"/>
    <s v="Estimated 2018-03-15; handed to carrier 2018-02-27; no delivery recorded by end of 2018-03-18"/>
    <x v="1"/>
    <x v="0"/>
    <x v="0"/>
    <x v="0"/>
  </r>
  <r>
    <n v="410"/>
    <x v="1"/>
    <x v="0"/>
    <x v="1"/>
    <x v="1"/>
    <s v="72356c7f42069d35de8cdab7e6ec6b6f"/>
    <d v="2018-02-21T00:00:00"/>
    <d v="2018-03-15T00:00:00"/>
    <x v="16"/>
    <d v="2018-02-28T00:00:00"/>
    <x v="0"/>
    <d v="2018-02-26T00:00:00"/>
    <x v="1"/>
    <x v="1"/>
    <x v="0"/>
    <s v="8b321bb669392f5163d04c59e235e066"/>
    <x v="0"/>
    <x v="0"/>
    <x v="18"/>
    <n v="15"/>
    <n v="21.15"/>
    <n v="36.15"/>
    <s v="Estimated 2018-03-15; handed to carrier 2018-02-26; no delivery recorded by end of 2018-03-18"/>
    <x v="1"/>
    <x v="0"/>
    <x v="0"/>
    <x v="0"/>
  </r>
  <r>
    <n v="411"/>
    <x v="1"/>
    <x v="0"/>
    <x v="1"/>
    <x v="1"/>
    <s v="9e8d7ab8137bcd3cfeac577dddf35592"/>
    <d v="2018-02-23T00:00:00"/>
    <d v="2018-03-15T00:00:00"/>
    <x v="16"/>
    <d v="2018-03-01T00:00:00"/>
    <x v="0"/>
    <d v="2018-02-26T00:00:00"/>
    <x v="1"/>
    <x v="1"/>
    <x v="0"/>
    <s v="5343d0649eca2a983820bfe93fc4d17e"/>
    <x v="0"/>
    <x v="0"/>
    <x v="1"/>
    <n v="146.69999999999999"/>
    <n v="14.78"/>
    <n v="161.47999999999999"/>
    <s v="Estimated 2018-03-15; handed to carrier 2018-02-26; no delivery recorded by end of 2018-03-18"/>
    <x v="1"/>
    <x v="0"/>
    <x v="0"/>
    <x v="0"/>
  </r>
  <r>
    <n v="412"/>
    <x v="1"/>
    <x v="0"/>
    <x v="1"/>
    <x v="1"/>
    <s v="add8925a882ced65862ec18298e38f3e"/>
    <d v="2018-02-22T00:00:00"/>
    <d v="2018-03-15T00:00:00"/>
    <x v="16"/>
    <d v="2018-03-01T00:00:00"/>
    <x v="0"/>
    <d v="2018-02-27T00:00:00"/>
    <x v="1"/>
    <x v="1"/>
    <x v="0"/>
    <s v="7d13fca15225358621be4086e1eb0964"/>
    <x v="0"/>
    <x v="0"/>
    <x v="3"/>
    <n v="145"/>
    <n v="12.51"/>
    <n v="157.51"/>
    <s v="Estimated 2018-03-15; handed to carrier 2018-02-27; no delivery recorded by end of 2018-03-18"/>
    <x v="1"/>
    <x v="0"/>
    <x v="0"/>
    <x v="0"/>
  </r>
  <r>
    <n v="413"/>
    <x v="1"/>
    <x v="0"/>
    <x v="1"/>
    <x v="1"/>
    <s v="1b3190b2dfa9d789e1f14c05b647a14a"/>
    <d v="2018-02-23T00:00:00"/>
    <d v="2018-03-15T00:00:00"/>
    <x v="16"/>
    <d v="2018-03-01T00:00:00"/>
    <x v="0"/>
    <d v="2018-02-26T00:00:00"/>
    <x v="1"/>
    <x v="1"/>
    <x v="0"/>
    <s v="7a67c85e85bb2ce8582c35f2203ad736"/>
    <x v="0"/>
    <x v="0"/>
    <x v="1"/>
    <n v="144.99"/>
    <n v="17.260000000000002"/>
    <n v="162.25"/>
    <s v="Estimated 2018-03-15; handed to carrier 2018-02-26; no delivery recorded by end of 2018-03-18"/>
    <x v="1"/>
    <x v="0"/>
    <x v="0"/>
    <x v="0"/>
  </r>
  <r>
    <n v="414"/>
    <x v="1"/>
    <x v="0"/>
    <x v="1"/>
    <x v="1"/>
    <s v="005e5166e99d1e4d0c4f808b0540ba94"/>
    <d v="2018-02-21T00:00:00"/>
    <d v="2018-03-15T00:00:00"/>
    <x v="16"/>
    <d v="2018-03-01T00:00:00"/>
    <x v="0"/>
    <d v="2018-03-08T00:00:00"/>
    <x v="1"/>
    <x v="1"/>
    <x v="0"/>
    <s v="e9bc59e7b60fc3063eb2290deda4cced"/>
    <x v="0"/>
    <x v="3"/>
    <x v="8"/>
    <n v="120.1"/>
    <n v="16.600000000000001"/>
    <n v="136.69999999999999"/>
    <s v="Estimated 2018-03-15; handed to carrier 2018-03-08; no delivery recorded by end of 2018-03-18"/>
    <x v="1"/>
    <x v="0"/>
    <x v="0"/>
    <x v="0"/>
  </r>
  <r>
    <n v="415"/>
    <x v="1"/>
    <x v="0"/>
    <x v="1"/>
    <x v="1"/>
    <s v="4dc5a389009b6cb5c61706d49f229a39"/>
    <d v="2018-02-23T00:00:00"/>
    <d v="2018-03-15T00:00:00"/>
    <x v="16"/>
    <d v="2018-03-01T00:00:00"/>
    <x v="0"/>
    <d v="2018-02-26T00:00:00"/>
    <x v="1"/>
    <x v="1"/>
    <x v="0"/>
    <s v="1025f0e2d44d7041d6cf58b6550e0bfa"/>
    <x v="0"/>
    <x v="0"/>
    <x v="1"/>
    <n v="120"/>
    <n v="39.770000000000003"/>
    <n v="159.77000000000001"/>
    <s v="Estimated 2018-03-15; handed to carrier 2018-02-26; no delivery recorded by end of 2018-03-18"/>
    <x v="1"/>
    <x v="0"/>
    <x v="0"/>
    <x v="0"/>
  </r>
  <r>
    <n v="416"/>
    <x v="1"/>
    <x v="0"/>
    <x v="1"/>
    <x v="1"/>
    <s v="c60c1ff560443153d7f50771e5fe9b92"/>
    <d v="2018-02-22T00:00:00"/>
    <d v="2018-03-15T00:00:00"/>
    <x v="16"/>
    <d v="2018-03-01T00:00:00"/>
    <x v="0"/>
    <d v="2018-03-02T00:00:00"/>
    <x v="1"/>
    <x v="1"/>
    <x v="0"/>
    <s v="8e6d7754bc7e0f22c96d255ebda59eba"/>
    <x v="0"/>
    <x v="0"/>
    <x v="7"/>
    <n v="100"/>
    <n v="16.46"/>
    <n v="116.46"/>
    <s v="Estimated 2018-03-15; handed to carrier 2018-03-02; no delivery recorded by end of 2018-03-18"/>
    <x v="1"/>
    <x v="0"/>
    <x v="0"/>
    <x v="0"/>
  </r>
  <r>
    <n v="417"/>
    <x v="1"/>
    <x v="0"/>
    <x v="1"/>
    <x v="1"/>
    <s v="76b23067a9ab8343b34607f1be84ca6c"/>
    <d v="2018-02-23T00:00:00"/>
    <d v="2018-03-15T00:00:00"/>
    <x v="16"/>
    <d v="2018-03-01T00:00:00"/>
    <x v="0"/>
    <d v="2018-02-26T00:00:00"/>
    <x v="1"/>
    <x v="1"/>
    <x v="0"/>
    <s v="2e1c9f22be269ef4643f826c9e650a52"/>
    <x v="0"/>
    <x v="0"/>
    <x v="1"/>
    <n v="99.49"/>
    <n v="16.95"/>
    <n v="116.44"/>
    <s v="Estimated 2018-03-15; handed to carrier 2018-02-26; no delivery recorded by end of 2018-03-18"/>
    <x v="1"/>
    <x v="0"/>
    <x v="0"/>
    <x v="0"/>
  </r>
  <r>
    <n v="418"/>
    <x v="1"/>
    <x v="0"/>
    <x v="1"/>
    <x v="1"/>
    <s v="1078d496cc6ab9a8e6f2be77abf5091b"/>
    <d v="2018-02-21T00:00:00"/>
    <d v="2018-03-15T00:00:00"/>
    <x v="16"/>
    <d v="2018-03-01T00:00:00"/>
    <x v="0"/>
    <d v="2018-02-22T00:00:00"/>
    <x v="1"/>
    <x v="1"/>
    <x v="0"/>
    <s v="312ba1d77e9c332ef21f9598b7f64cd7"/>
    <x v="0"/>
    <x v="0"/>
    <x v="1"/>
    <n v="81"/>
    <n v="15.33"/>
    <n v="96.33"/>
    <s v="Estimated 2018-03-15; handed to carrier 2018-02-22; no delivery recorded by end of 2018-03-18"/>
    <x v="1"/>
    <x v="0"/>
    <x v="0"/>
    <x v="0"/>
  </r>
  <r>
    <n v="419"/>
    <x v="1"/>
    <x v="0"/>
    <x v="1"/>
    <x v="1"/>
    <s v="2ba2becdde8cc656098cdc16496a90c6"/>
    <d v="2018-02-21T00:00:00"/>
    <d v="2018-03-15T00:00:00"/>
    <x v="16"/>
    <d v="2018-03-01T00:00:00"/>
    <x v="0"/>
    <d v="2018-02-24T00:00:00"/>
    <x v="1"/>
    <x v="1"/>
    <x v="0"/>
    <s v="02dcd3e8e25bee036e32512bcf175493"/>
    <x v="0"/>
    <x v="1"/>
    <x v="1"/>
    <n v="75"/>
    <n v="16.29"/>
    <n v="91.29"/>
    <s v="Estimated 2018-03-15; handed to carrier 2018-02-24; no delivery recorded by end of 2018-03-18"/>
    <x v="1"/>
    <x v="0"/>
    <x v="0"/>
    <x v="0"/>
  </r>
  <r>
    <n v="420"/>
    <x v="1"/>
    <x v="0"/>
    <x v="1"/>
    <x v="1"/>
    <s v="e4664080e3689ac85ac132f91bc753db"/>
    <d v="2018-02-22T00:00:00"/>
    <d v="2018-03-15T00:00:00"/>
    <x v="16"/>
    <d v="2018-03-01T00:00:00"/>
    <x v="0"/>
    <d v="2018-02-28T00:00:00"/>
    <x v="1"/>
    <x v="1"/>
    <x v="0"/>
    <s v="4830e40640734fc1c52cd21127c341d4"/>
    <x v="0"/>
    <x v="0"/>
    <x v="1"/>
    <n v="59"/>
    <n v="15.17"/>
    <n v="74.17"/>
    <s v="Estimated 2018-03-15; handed to carrier 2018-02-28; no delivery recorded by end of 2018-03-18"/>
    <x v="1"/>
    <x v="0"/>
    <x v="0"/>
    <x v="0"/>
  </r>
  <r>
    <n v="421"/>
    <x v="1"/>
    <x v="0"/>
    <x v="1"/>
    <x v="1"/>
    <s v="fa4dbdc2240b30eb41532f7a04684661"/>
    <d v="2018-02-23T00:00:00"/>
    <d v="2018-03-15T00:00:00"/>
    <x v="16"/>
    <d v="2018-03-01T00:00:00"/>
    <x v="0"/>
    <d v="2018-02-28T00:00:00"/>
    <x v="1"/>
    <x v="1"/>
    <x v="0"/>
    <s v="431af27f296bc6519d890aa5a05fdb11"/>
    <x v="0"/>
    <x v="0"/>
    <x v="3"/>
    <n v="56.9"/>
    <n v="12.74"/>
    <n v="69.64"/>
    <s v="Estimated 2018-03-15; handed to carrier 2018-02-28; no delivery recorded by end of 2018-03-18"/>
    <x v="1"/>
    <x v="0"/>
    <x v="0"/>
    <x v="0"/>
  </r>
  <r>
    <n v="422"/>
    <x v="1"/>
    <x v="0"/>
    <x v="1"/>
    <x v="1"/>
    <s v="c1c4e2a7fb7eb8066b69234d0b3fd446"/>
    <d v="2018-02-23T00:00:00"/>
    <d v="2018-03-15T00:00:00"/>
    <x v="16"/>
    <d v="2018-03-01T00:00:00"/>
    <x v="0"/>
    <d v="2018-03-01T00:00:00"/>
    <x v="1"/>
    <x v="1"/>
    <x v="0"/>
    <s v="4a3ca9315b744ce9f8e9374361493884"/>
    <x v="0"/>
    <x v="0"/>
    <x v="3"/>
    <n v="53.5"/>
    <n v="11.87"/>
    <n v="65.37"/>
    <s v="Estimated 2018-03-15; handed to carrier 2018-03-01; no delivery recorded by end of 2018-03-18"/>
    <x v="1"/>
    <x v="0"/>
    <x v="0"/>
    <x v="0"/>
  </r>
  <r>
    <n v="423"/>
    <x v="1"/>
    <x v="0"/>
    <x v="1"/>
    <x v="1"/>
    <s v="40237bfdaa849b45bb6dc75be63c3abf"/>
    <d v="2018-02-23T00:00:00"/>
    <d v="2018-03-15T00:00:00"/>
    <x v="16"/>
    <d v="2018-03-01T00:00:00"/>
    <x v="0"/>
    <d v="2018-02-26T00:00:00"/>
    <x v="1"/>
    <x v="1"/>
    <x v="0"/>
    <s v="dee656f0f566ed1aa85bd137c943f08f"/>
    <x v="0"/>
    <x v="0"/>
    <x v="3"/>
    <n v="44.9"/>
    <n v="12.69"/>
    <n v="57.59"/>
    <s v="Estimated 2018-03-15; handed to carrier 2018-02-26; no delivery recorded by end of 2018-03-18"/>
    <x v="1"/>
    <x v="0"/>
    <x v="0"/>
    <x v="0"/>
  </r>
  <r>
    <n v="424"/>
    <x v="1"/>
    <x v="0"/>
    <x v="1"/>
    <x v="1"/>
    <s v="43e2663d8b10c0af66e25a54fc484ca1"/>
    <d v="2018-02-22T00:00:00"/>
    <d v="2018-03-15T00:00:00"/>
    <x v="16"/>
    <d v="2018-03-01T00:00:00"/>
    <x v="0"/>
    <d v="2018-02-23T00:00:00"/>
    <x v="1"/>
    <x v="1"/>
    <x v="0"/>
    <s v="1900267e848ceeba8fa32d80c1a5f5a8"/>
    <x v="0"/>
    <x v="0"/>
    <x v="1"/>
    <n v="33.99"/>
    <n v="16.11"/>
    <n v="50.1"/>
    <s v="Estimated 2018-03-15; handed to carrier 2018-02-23; no delivery recorded by end of 2018-03-18"/>
    <x v="1"/>
    <x v="0"/>
    <x v="0"/>
    <x v="0"/>
  </r>
  <r>
    <n v="425"/>
    <x v="1"/>
    <x v="0"/>
    <x v="1"/>
    <x v="1"/>
    <s v="0fb1f7c7042e9fa84d8d415c5fdec5c9"/>
    <d v="2018-02-23T00:00:00"/>
    <d v="2018-03-15T00:00:00"/>
    <x v="16"/>
    <d v="2018-03-01T00:00:00"/>
    <x v="0"/>
    <d v="2018-02-26T00:00:00"/>
    <x v="1"/>
    <x v="1"/>
    <x v="0"/>
    <s v="8b321bb669392f5163d04c59e235e066"/>
    <x v="0"/>
    <x v="0"/>
    <x v="1"/>
    <n v="15"/>
    <n v="14.1"/>
    <n v="29.1"/>
    <s v="Estimated 2018-03-15; handed to carrier 2018-02-26; no delivery recorded by end of 2018-03-18"/>
    <x v="1"/>
    <x v="0"/>
    <x v="0"/>
    <x v="0"/>
  </r>
  <r>
    <n v="426"/>
    <x v="1"/>
    <x v="0"/>
    <x v="1"/>
    <x v="1"/>
    <s v="100e8cf23e7518027376ac07ca0ec96b"/>
    <d v="2018-02-22T00:00:00"/>
    <d v="2018-03-15T00:00:00"/>
    <x v="16"/>
    <d v="2018-03-02T00:00:00"/>
    <x v="0"/>
    <d v="2018-02-27T00:00:00"/>
    <x v="1"/>
    <x v="1"/>
    <x v="0"/>
    <s v="955fee9216a65b617aa5c0531780ce60"/>
    <x v="0"/>
    <x v="0"/>
    <x v="3"/>
    <n v="69.900000000000006"/>
    <n v="16.12"/>
    <n v="86.02"/>
    <s v="Estimated 2018-03-15; handed to carrier 2018-02-27; no delivery recorded by end of 2018-03-18"/>
    <x v="1"/>
    <x v="0"/>
    <x v="0"/>
    <x v="0"/>
  </r>
  <r>
    <n v="427"/>
    <x v="1"/>
    <x v="0"/>
    <x v="1"/>
    <x v="1"/>
    <s v="c206348085f589eaf3bcd60a005bb15c"/>
    <d v="2018-02-23T00:00:00"/>
    <d v="2018-03-15T00:00:00"/>
    <x v="16"/>
    <d v="2018-03-05T00:00:00"/>
    <x v="0"/>
    <d v="2018-02-27T00:00:00"/>
    <x v="1"/>
    <x v="1"/>
    <x v="0"/>
    <s v="7d13fca15225358621be4086e1eb0964"/>
    <x v="0"/>
    <x v="0"/>
    <x v="3"/>
    <n v="145"/>
    <n v="12.51"/>
    <n v="157.51"/>
    <s v="Estimated 2018-03-15; handed to carrier 2018-02-27; no delivery recorded by end of 2018-03-18"/>
    <x v="1"/>
    <x v="0"/>
    <x v="0"/>
    <x v="0"/>
  </r>
  <r>
    <n v="428"/>
    <x v="1"/>
    <x v="0"/>
    <x v="1"/>
    <x v="1"/>
    <s v="e248283e6b8ba09b05efea1000d9478b"/>
    <d v="2018-03-03T00:00:00"/>
    <d v="2018-03-15T00:00:00"/>
    <x v="16"/>
    <d v="2018-03-08T00:00:00"/>
    <x v="0"/>
    <d v="2018-03-05T00:00:00"/>
    <x v="1"/>
    <x v="1"/>
    <x v="0"/>
    <s v="821fb029fc6e495ca4f08a35d51e53a5"/>
    <x v="0"/>
    <x v="0"/>
    <x v="3"/>
    <n v="129.9"/>
    <n v="13.46"/>
    <n v="143.36000000000001"/>
    <s v="Estimated 2018-03-15; handed to carrier 2018-03-05; no delivery recorded by end of 2018-03-18"/>
    <x v="1"/>
    <x v="0"/>
    <x v="0"/>
    <x v="0"/>
  </r>
  <r>
    <n v="429"/>
    <x v="1"/>
    <x v="0"/>
    <x v="1"/>
    <x v="1"/>
    <s v="9c83e5ae8ff2b5cad999c3dc6129a888"/>
    <d v="2018-03-03T00:00:00"/>
    <d v="2018-03-15T00:00:00"/>
    <x v="16"/>
    <d v="2018-03-08T00:00:00"/>
    <x v="0"/>
    <d v="2018-03-05T00:00:00"/>
    <x v="1"/>
    <x v="1"/>
    <x v="0"/>
    <s v="6edacfd9f9074789dad6d62ba7950b9c"/>
    <x v="0"/>
    <x v="0"/>
    <x v="3"/>
    <n v="9.9"/>
    <n v="7.78"/>
    <n v="17.68"/>
    <s v="Estimated 2018-03-15; handed to carrier 2018-03-05; no delivery recorded by end of 2018-03-18"/>
    <x v="1"/>
    <x v="0"/>
    <x v="0"/>
    <x v="0"/>
  </r>
  <r>
    <n v="430"/>
    <x v="1"/>
    <x v="0"/>
    <x v="1"/>
    <x v="1"/>
    <s v="b687f81e0e59c1153eaa197ad1c1d043"/>
    <d v="2018-02-28T00:00:00"/>
    <d v="2018-03-15T00:00:00"/>
    <x v="16"/>
    <d v="2018-03-09T00:00:00"/>
    <x v="0"/>
    <d v="2018-03-08T00:00:00"/>
    <x v="1"/>
    <x v="1"/>
    <x v="0"/>
    <s v="f76a3b1349b6df1ee875d1f3fa4340f0"/>
    <x v="0"/>
    <x v="0"/>
    <x v="3"/>
    <n v="186"/>
    <n v="14.91"/>
    <n v="200.91"/>
    <s v="Estimated 2018-03-15; handed to carrier 2018-03-08; no delivery recorded by end of 2018-03-18"/>
    <x v="1"/>
    <x v="0"/>
    <x v="0"/>
    <x v="0"/>
  </r>
  <r>
    <n v="431"/>
    <x v="1"/>
    <x v="0"/>
    <x v="0"/>
    <x v="0"/>
    <s v="e2557098c56afd06a929b32a63b5f856"/>
    <d v="2018-03-01T00:00:00"/>
    <d v="2018-03-15T00:00:00"/>
    <x v="16"/>
    <d v="2018-03-09T00:00:00"/>
    <x v="0"/>
    <m/>
    <x v="1"/>
    <x v="1"/>
    <x v="0"/>
    <s v="cc419e0650a3c5ba77189a1882b7556a"/>
    <x v="0"/>
    <x v="0"/>
    <x v="3"/>
    <n v="94.99"/>
    <n v="8.86"/>
    <n v="103.85"/>
    <s v="Estimated 2018-03-15; approved 2018-03-02; ship-by 2018-03-09; not handed to carrier by end of 2018-03-18"/>
    <x v="0"/>
    <x v="0"/>
    <x v="0"/>
    <x v="0"/>
  </r>
  <r>
    <n v="432"/>
    <x v="1"/>
    <x v="0"/>
    <x v="0"/>
    <x v="0"/>
    <s v="5b0ee19a3125fc083348baa76d816ed0"/>
    <d v="2018-03-05T00:00:00"/>
    <d v="2018-03-15T00:00:00"/>
    <x v="16"/>
    <d v="2018-03-09T00:00:00"/>
    <x v="0"/>
    <m/>
    <x v="1"/>
    <x v="1"/>
    <x v="0"/>
    <s v="e9bc59e7b60fc3063eb2290deda4cced"/>
    <x v="0"/>
    <x v="3"/>
    <x v="10"/>
    <n v="81"/>
    <n v="9.98"/>
    <n v="90.98"/>
    <s v="Estimated 2018-03-15; approved 2018-03-05; ship-by 2018-03-09; not handed to carrier by end of 2018-03-18"/>
    <x v="0"/>
    <x v="0"/>
    <x v="0"/>
    <x v="0"/>
  </r>
  <r>
    <n v="433"/>
    <x v="1"/>
    <x v="0"/>
    <x v="0"/>
    <x v="0"/>
    <s v="a3ed0979ab701d548275a0f5c844c635"/>
    <d v="2018-03-05T00:00:00"/>
    <d v="2018-03-15T00:00:00"/>
    <x v="16"/>
    <d v="2018-03-09T00:00:00"/>
    <x v="0"/>
    <m/>
    <x v="1"/>
    <x v="1"/>
    <x v="0"/>
    <s v="4830e40640734fc1c52cd21127c341d4"/>
    <x v="0"/>
    <x v="0"/>
    <x v="3"/>
    <n v="45"/>
    <n v="8.7200000000000006"/>
    <n v="53.72"/>
    <s v="Estimated 2018-03-15; approved 2018-03-05; ship-by 2018-03-09; not handed to carrier by end of 2018-03-18"/>
    <x v="0"/>
    <x v="0"/>
    <x v="0"/>
    <x v="0"/>
  </r>
  <r>
    <n v="434"/>
    <x v="1"/>
    <x v="0"/>
    <x v="0"/>
    <x v="0"/>
    <s v="68664ce4c84bcf1e6682d90992c7504d"/>
    <d v="2018-03-01T00:00:00"/>
    <d v="2018-03-15T00:00:00"/>
    <x v="16"/>
    <m/>
    <x v="0"/>
    <m/>
    <x v="1"/>
    <x v="3"/>
    <x v="1"/>
    <s v=""/>
    <x v="1"/>
    <x v="2"/>
    <x v="4"/>
    <n v="0"/>
    <n v="0"/>
    <n v="245.66"/>
    <s v=""/>
    <x v="0"/>
    <x v="0"/>
    <x v="0"/>
    <x v="0"/>
  </r>
  <r>
    <n v="435"/>
    <x v="1"/>
    <x v="0"/>
    <x v="0"/>
    <x v="0"/>
    <s v="8ae36ddb0c9660dabf5341488efb2a30"/>
    <d v="2018-03-03T00:00:00"/>
    <d v="2018-03-15T00:00:00"/>
    <x v="16"/>
    <m/>
    <x v="0"/>
    <m/>
    <x v="1"/>
    <x v="3"/>
    <x v="1"/>
    <s v=""/>
    <x v="1"/>
    <x v="2"/>
    <x v="3"/>
    <n v="0"/>
    <n v="0"/>
    <n v="282.3"/>
    <s v=""/>
    <x v="0"/>
    <x v="0"/>
    <x v="0"/>
    <x v="0"/>
  </r>
  <r>
    <n v="436"/>
    <x v="1"/>
    <x v="0"/>
    <x v="0"/>
    <x v="0"/>
    <s v="a0c1632c3bd45c48bed924a7dae3a664"/>
    <d v="2018-02-17T00:00:00"/>
    <d v="2018-03-15T00:00:00"/>
    <x v="16"/>
    <m/>
    <x v="0"/>
    <m/>
    <x v="1"/>
    <x v="3"/>
    <x v="1"/>
    <s v=""/>
    <x v="1"/>
    <x v="2"/>
    <x v="2"/>
    <n v="0"/>
    <n v="0"/>
    <n v="84.14"/>
    <s v=""/>
    <x v="0"/>
    <x v="0"/>
    <x v="0"/>
    <x v="0"/>
  </r>
  <r>
    <n v="437"/>
    <x v="1"/>
    <x v="0"/>
    <x v="0"/>
    <x v="0"/>
    <s v="bbdef4b5ecad947f721ab789db1dd57f"/>
    <d v="2018-03-04T00:00:00"/>
    <d v="2018-03-15T00:00:00"/>
    <x v="16"/>
    <m/>
    <x v="0"/>
    <m/>
    <x v="1"/>
    <x v="3"/>
    <x v="1"/>
    <s v=""/>
    <x v="1"/>
    <x v="2"/>
    <x v="3"/>
    <n v="0"/>
    <n v="0"/>
    <n v="128.80000000000001"/>
    <s v=""/>
    <x v="0"/>
    <x v="0"/>
    <x v="0"/>
    <x v="0"/>
  </r>
  <r>
    <n v="438"/>
    <x v="1"/>
    <x v="0"/>
    <x v="0"/>
    <x v="0"/>
    <s v="d17cbd88da86748917f52864d1be98d0"/>
    <d v="2018-02-20T00:00:00"/>
    <d v="2018-03-15T00:00:00"/>
    <x v="16"/>
    <m/>
    <x v="0"/>
    <m/>
    <x v="1"/>
    <x v="3"/>
    <x v="1"/>
    <s v=""/>
    <x v="1"/>
    <x v="2"/>
    <x v="3"/>
    <n v="0"/>
    <n v="0"/>
    <n v="153.9"/>
    <s v=""/>
    <x v="0"/>
    <x v="0"/>
    <x v="0"/>
    <x v="0"/>
  </r>
  <r>
    <n v="439"/>
    <x v="2"/>
    <x v="0"/>
    <x v="1"/>
    <x v="1"/>
    <s v="f4bcc27cc1e629c8ea22ae96ab8751ae"/>
    <d v="2018-02-08T00:00:00"/>
    <d v="2018-03-16T00:00:00"/>
    <x v="17"/>
    <d v="2018-02-15T00:00:00"/>
    <x v="0"/>
    <d v="2018-02-14T00:00:00"/>
    <x v="1"/>
    <x v="1"/>
    <x v="0"/>
    <s v="522620dcb18a6b31cd7bdf73665113a9"/>
    <x v="0"/>
    <x v="3"/>
    <x v="6"/>
    <n v="79"/>
    <n v="42.58"/>
    <n v="121.58"/>
    <s v="Estimated 2018-03-16; handed to carrier 2018-02-14; no delivery recorded by end of 2018-03-18"/>
    <x v="1"/>
    <x v="0"/>
    <x v="0"/>
    <x v="0"/>
  </r>
  <r>
    <n v="440"/>
    <x v="2"/>
    <x v="0"/>
    <x v="1"/>
    <x v="1"/>
    <s v="4dcff73972e49b77fcb010749fb5433e"/>
    <d v="2018-02-04T00:00:00"/>
    <d v="2018-03-16T00:00:00"/>
    <x v="17"/>
    <d v="2018-02-16T00:00:00"/>
    <x v="0"/>
    <d v="2018-02-19T00:00:00"/>
    <x v="1"/>
    <x v="2"/>
    <x v="0"/>
    <s v="7c67e1448b00f6e969d365cea6b010ab"/>
    <x v="0"/>
    <x v="0"/>
    <x v="1"/>
    <n v="159.97999999999999"/>
    <n v="60.8"/>
    <n v="220.78"/>
    <s v="Estimated 2018-03-16; handed to carrier 2018-02-19; no delivery recorded by end of 2018-03-18"/>
    <x v="1"/>
    <x v="0"/>
    <x v="0"/>
    <x v="0"/>
  </r>
  <r>
    <n v="441"/>
    <x v="2"/>
    <x v="0"/>
    <x v="1"/>
    <x v="1"/>
    <s v="67b5c82e01dc9ea4d82fbd3d51e41bae"/>
    <d v="2018-02-05T00:00:00"/>
    <d v="2018-03-16T00:00:00"/>
    <x v="17"/>
    <d v="2018-02-19T00:00:00"/>
    <x v="0"/>
    <d v="2018-02-19T00:00:00"/>
    <x v="1"/>
    <x v="1"/>
    <x v="0"/>
    <s v="7c67e1448b00f6e969d365cea6b010ab"/>
    <x v="0"/>
    <x v="0"/>
    <x v="3"/>
    <n v="192.99"/>
    <n v="34.619999999999997"/>
    <n v="227.61"/>
    <s v="Estimated 2018-03-16; handed to carrier 2018-02-19; no delivery recorded by end of 2018-03-18"/>
    <x v="1"/>
    <x v="0"/>
    <x v="0"/>
    <x v="0"/>
  </r>
  <r>
    <n v="442"/>
    <x v="2"/>
    <x v="0"/>
    <x v="1"/>
    <x v="1"/>
    <s v="fb87fe28380004e9d6ddcc862b23a82b"/>
    <d v="2018-02-08T00:00:00"/>
    <d v="2018-03-16T00:00:00"/>
    <x v="17"/>
    <d v="2018-02-19T00:00:00"/>
    <x v="0"/>
    <d v="2018-02-16T00:00:00"/>
    <x v="1"/>
    <x v="1"/>
    <x v="0"/>
    <s v="4e922959ae960d389249c378d1c939f5"/>
    <x v="0"/>
    <x v="0"/>
    <x v="8"/>
    <n v="180"/>
    <n v="16.010000000000002"/>
    <n v="196.01"/>
    <s v="Estimated 2018-03-16; handed to carrier 2018-02-16; no delivery recorded by end of 2018-03-18"/>
    <x v="1"/>
    <x v="0"/>
    <x v="0"/>
    <x v="0"/>
  </r>
  <r>
    <n v="443"/>
    <x v="2"/>
    <x v="0"/>
    <x v="1"/>
    <x v="1"/>
    <s v="eb785b1fc66ac703e6801aef45d2397b"/>
    <d v="2018-02-14T00:00:00"/>
    <d v="2018-03-16T00:00:00"/>
    <x v="17"/>
    <d v="2018-02-20T00:00:00"/>
    <x v="0"/>
    <d v="2018-02-15T00:00:00"/>
    <x v="1"/>
    <x v="1"/>
    <x v="0"/>
    <s v="e5a3438891c0bfdb9394643f95273d8e"/>
    <x v="0"/>
    <x v="0"/>
    <x v="5"/>
    <n v="27.3"/>
    <n v="15.1"/>
    <n v="42.4"/>
    <s v="Estimated 2018-03-16; handed to carrier 2018-02-15; no delivery recorded by end of 2018-03-18"/>
    <x v="1"/>
    <x v="0"/>
    <x v="0"/>
    <x v="0"/>
  </r>
  <r>
    <n v="444"/>
    <x v="2"/>
    <x v="0"/>
    <x v="0"/>
    <x v="0"/>
    <s v="e9ca4774d5c077b8b4be87d25eaaaa3d"/>
    <d v="2018-02-15T00:00:00"/>
    <d v="2018-03-16T00:00:00"/>
    <x v="17"/>
    <d v="2018-02-21T00:00:00"/>
    <x v="0"/>
    <m/>
    <x v="1"/>
    <x v="1"/>
    <x v="0"/>
    <s v="c3867b4666c7d76867627c2f7fb22e21"/>
    <x v="0"/>
    <x v="0"/>
    <x v="18"/>
    <n v="149.9"/>
    <n v="38.6"/>
    <n v="188.5"/>
    <s v="Estimated 2018-03-16; approved 2018-02-15; ship-by 2018-02-21; not handed to carrier by end of 2018-03-18"/>
    <x v="0"/>
    <x v="0"/>
    <x v="0"/>
    <x v="0"/>
  </r>
  <r>
    <n v="445"/>
    <x v="2"/>
    <x v="0"/>
    <x v="1"/>
    <x v="1"/>
    <s v="5b4858f2dcf69731f2285a38829bfa7c"/>
    <d v="2018-02-15T00:00:00"/>
    <d v="2018-03-16T00:00:00"/>
    <x v="17"/>
    <d v="2018-02-21T00:00:00"/>
    <x v="0"/>
    <d v="2018-02-16T00:00:00"/>
    <x v="1"/>
    <x v="1"/>
    <x v="0"/>
    <s v="dbc22125167c298ef99da25668e1011f"/>
    <x v="0"/>
    <x v="1"/>
    <x v="4"/>
    <n v="50.9"/>
    <n v="17.93"/>
    <n v="68.83"/>
    <s v="Estimated 2018-03-16; handed to carrier 2018-02-16; no delivery recorded by end of 2018-03-18"/>
    <x v="1"/>
    <x v="0"/>
    <x v="0"/>
    <x v="0"/>
  </r>
  <r>
    <n v="446"/>
    <x v="2"/>
    <x v="0"/>
    <x v="1"/>
    <x v="1"/>
    <s v="9d578363f05f0a4f13c35ca532f88192"/>
    <d v="2018-02-16T00:00:00"/>
    <d v="2018-03-16T00:00:00"/>
    <x v="17"/>
    <d v="2018-02-22T00:00:00"/>
    <x v="0"/>
    <d v="2018-02-19T00:00:00"/>
    <x v="1"/>
    <x v="1"/>
    <x v="0"/>
    <s v="7a67c85e85bb2ce8582c35f2203ad736"/>
    <x v="0"/>
    <x v="0"/>
    <x v="14"/>
    <n v="229.99"/>
    <n v="31.02"/>
    <n v="261.01"/>
    <s v="Estimated 2018-03-16; handed to carrier 2018-02-19; no delivery recorded by end of 2018-03-18"/>
    <x v="1"/>
    <x v="0"/>
    <x v="0"/>
    <x v="0"/>
  </r>
  <r>
    <n v="447"/>
    <x v="2"/>
    <x v="0"/>
    <x v="1"/>
    <x v="1"/>
    <s v="4c3cc41d9fad33476cbf842592458f36"/>
    <d v="2018-02-17T00:00:00"/>
    <d v="2018-03-16T00:00:00"/>
    <x v="17"/>
    <d v="2018-02-22T00:00:00"/>
    <x v="0"/>
    <d v="2018-02-20T00:00:00"/>
    <x v="1"/>
    <x v="1"/>
    <x v="0"/>
    <s v="7e1fb0a3ebfb01ffb3a7dae98bf3238d"/>
    <x v="0"/>
    <x v="0"/>
    <x v="11"/>
    <n v="150"/>
    <n v="34.85"/>
    <n v="184.85"/>
    <s v="Estimated 2018-03-16; handed to carrier 2018-02-20; no delivery recorded by end of 2018-03-18"/>
    <x v="1"/>
    <x v="0"/>
    <x v="0"/>
    <x v="0"/>
  </r>
  <r>
    <n v="448"/>
    <x v="2"/>
    <x v="0"/>
    <x v="1"/>
    <x v="1"/>
    <s v="96c85fb240067205674e99425c5df3de"/>
    <d v="2018-02-06T00:00:00"/>
    <d v="2018-03-16T00:00:00"/>
    <x v="17"/>
    <d v="2018-02-22T00:00:00"/>
    <x v="0"/>
    <d v="2018-02-28T00:00:00"/>
    <x v="1"/>
    <x v="1"/>
    <x v="0"/>
    <s v="6fd52c528dcb38be2eea044946b811f8"/>
    <x v="0"/>
    <x v="0"/>
    <x v="1"/>
    <n v="129.88999999999999"/>
    <n v="16.670000000000002"/>
    <n v="146.56"/>
    <s v="Estimated 2018-03-16; handed to carrier 2018-02-28; no delivery recorded by end of 2018-03-18"/>
    <x v="1"/>
    <x v="0"/>
    <x v="0"/>
    <x v="0"/>
  </r>
  <r>
    <n v="449"/>
    <x v="2"/>
    <x v="0"/>
    <x v="1"/>
    <x v="1"/>
    <s v="284b02fa3e9a13f33180080d6c8fea2e"/>
    <d v="2018-02-18T00:00:00"/>
    <d v="2018-03-16T00:00:00"/>
    <x v="17"/>
    <d v="2018-02-22T00:00:00"/>
    <x v="0"/>
    <d v="2018-02-20T00:00:00"/>
    <x v="1"/>
    <x v="1"/>
    <x v="0"/>
    <s v="602044f2c16190c2c6e45eb35c2e21cb"/>
    <x v="0"/>
    <x v="0"/>
    <x v="18"/>
    <n v="89.99"/>
    <n v="34.43"/>
    <n v="124.42"/>
    <s v="Estimated 2018-03-16; handed to carrier 2018-02-20; no delivery recorded by end of 2018-03-18"/>
    <x v="1"/>
    <x v="0"/>
    <x v="0"/>
    <x v="0"/>
  </r>
  <r>
    <n v="450"/>
    <x v="2"/>
    <x v="0"/>
    <x v="1"/>
    <x v="1"/>
    <s v="5cf1acf2432e3672334e331caf413208"/>
    <d v="2018-02-16T00:00:00"/>
    <d v="2018-03-16T00:00:00"/>
    <x v="17"/>
    <d v="2018-02-22T00:00:00"/>
    <x v="0"/>
    <d v="2018-02-19T00:00:00"/>
    <x v="1"/>
    <x v="1"/>
    <x v="0"/>
    <s v="c3867b4666c7d76867627c2f7fb22e21"/>
    <x v="0"/>
    <x v="0"/>
    <x v="4"/>
    <n v="68"/>
    <n v="16.920000000000002"/>
    <n v="84.92"/>
    <s v="Estimated 2018-03-16; handed to carrier 2018-02-19; no delivery recorded by end of 2018-03-18"/>
    <x v="1"/>
    <x v="0"/>
    <x v="0"/>
    <x v="0"/>
  </r>
  <r>
    <n v="451"/>
    <x v="2"/>
    <x v="0"/>
    <x v="1"/>
    <x v="1"/>
    <s v="f938fa004452c776198a593e5fb9056d"/>
    <d v="2018-02-18T00:00:00"/>
    <d v="2018-03-16T00:00:00"/>
    <x v="17"/>
    <d v="2018-02-22T00:00:00"/>
    <x v="0"/>
    <d v="2018-02-21T00:00:00"/>
    <x v="1"/>
    <x v="4"/>
    <x v="0"/>
    <s v="e9779976487b77c6d4ac45f75ec7afe9"/>
    <x v="0"/>
    <x v="0"/>
    <x v="4"/>
    <n v="58.47"/>
    <n v="50.37"/>
    <n v="108.84"/>
    <s v="Estimated 2018-03-16; handed to carrier 2018-02-21; no delivery recorded by end of 2018-03-18"/>
    <x v="1"/>
    <x v="0"/>
    <x v="0"/>
    <x v="0"/>
  </r>
  <r>
    <n v="452"/>
    <x v="2"/>
    <x v="0"/>
    <x v="1"/>
    <x v="1"/>
    <s v="c53b15af645d91a057ddba9d0e1f21c7"/>
    <d v="2018-02-18T00:00:00"/>
    <d v="2018-03-16T00:00:00"/>
    <x v="17"/>
    <d v="2018-02-22T00:00:00"/>
    <x v="0"/>
    <d v="2018-02-21T00:00:00"/>
    <x v="1"/>
    <x v="2"/>
    <x v="0"/>
    <s v="e9779976487b77c6d4ac45f75ec7afe9"/>
    <x v="0"/>
    <x v="0"/>
    <x v="4"/>
    <n v="38.979999999999997"/>
    <n v="33.58"/>
    <n v="72.56"/>
    <s v="Estimated 2018-03-16; handed to carrier 2018-02-21; no delivery recorded by end of 2018-03-18"/>
    <x v="1"/>
    <x v="0"/>
    <x v="0"/>
    <x v="0"/>
  </r>
  <r>
    <n v="453"/>
    <x v="2"/>
    <x v="0"/>
    <x v="1"/>
    <x v="1"/>
    <s v="46b18707c8d227291f47dcb0348320ee"/>
    <d v="2018-02-18T00:00:00"/>
    <d v="2018-03-16T00:00:00"/>
    <x v="17"/>
    <d v="2018-02-22T00:00:00"/>
    <x v="0"/>
    <d v="2018-02-21T00:00:00"/>
    <x v="1"/>
    <x v="1"/>
    <x v="0"/>
    <s v="0adac9fbd9a2b63cccaac4f8756c1ca8"/>
    <x v="0"/>
    <x v="0"/>
    <x v="10"/>
    <n v="18.600000000000001"/>
    <n v="16.11"/>
    <n v="34.71"/>
    <s v="Estimated 2018-03-16; handed to carrier 2018-02-21; no delivery recorded by end of 2018-03-18"/>
    <x v="1"/>
    <x v="0"/>
    <x v="0"/>
    <x v="0"/>
  </r>
  <r>
    <n v="454"/>
    <x v="2"/>
    <x v="0"/>
    <x v="1"/>
    <x v="1"/>
    <s v="ef95c45a2c0fca1b7aaee8da7c0013f1"/>
    <d v="2018-02-18T00:00:00"/>
    <d v="2018-03-16T00:00:00"/>
    <x v="17"/>
    <d v="2018-02-22T00:00:00"/>
    <x v="0"/>
    <d v="2018-02-19T00:00:00"/>
    <x v="1"/>
    <x v="1"/>
    <x v="0"/>
    <s v="4200ddf1967c5e41e48db62bc6d4b5ac"/>
    <x v="0"/>
    <x v="0"/>
    <x v="0"/>
    <n v="16.899999999999999"/>
    <n v="21.15"/>
    <n v="38.049999999999997"/>
    <s v="Estimated 2018-03-16; handed to carrier 2018-02-19; no delivery recorded by end of 2018-03-18"/>
    <x v="1"/>
    <x v="0"/>
    <x v="0"/>
    <x v="0"/>
  </r>
  <r>
    <n v="455"/>
    <x v="2"/>
    <x v="0"/>
    <x v="1"/>
    <x v="1"/>
    <s v="4a422e8c9f64de121752b33d4571f783"/>
    <d v="2018-02-19T00:00:00"/>
    <d v="2018-03-16T00:00:00"/>
    <x v="17"/>
    <d v="2018-02-23T00:00:00"/>
    <x v="0"/>
    <d v="2018-02-21T00:00:00"/>
    <x v="1"/>
    <x v="1"/>
    <x v="0"/>
    <s v="de722cd6dad950a92b7d4f82673f8833"/>
    <x v="0"/>
    <x v="9"/>
    <x v="0"/>
    <n v="149.9"/>
    <n v="14.2"/>
    <n v="164.1"/>
    <s v="Estimated 2018-03-16; handed to carrier 2018-02-21; no delivery recorded by end of 2018-03-18"/>
    <x v="1"/>
    <x v="0"/>
    <x v="0"/>
    <x v="0"/>
  </r>
  <r>
    <n v="456"/>
    <x v="2"/>
    <x v="0"/>
    <x v="1"/>
    <x v="1"/>
    <s v="f16290559c863b848c56bd040fe3831c"/>
    <d v="2018-02-19T00:00:00"/>
    <d v="2018-03-16T00:00:00"/>
    <x v="17"/>
    <d v="2018-02-23T00:00:00"/>
    <x v="0"/>
    <d v="2018-02-19T00:00:00"/>
    <x v="1"/>
    <x v="1"/>
    <x v="0"/>
    <s v="be8e909810184b9b19e886129149d8e5"/>
    <x v="0"/>
    <x v="0"/>
    <x v="8"/>
    <n v="44.99"/>
    <n v="16.11"/>
    <n v="61.1"/>
    <s v="Estimated 2018-03-16; handed to carrier 2018-02-19; no delivery recorded by end of 2018-03-18"/>
    <x v="1"/>
    <x v="0"/>
    <x v="0"/>
    <x v="0"/>
  </r>
  <r>
    <n v="457"/>
    <x v="2"/>
    <x v="0"/>
    <x v="1"/>
    <x v="1"/>
    <s v="f4a9a8dac06f384b1b71b01d433a1a5b"/>
    <d v="2018-02-19T00:00:00"/>
    <d v="2018-03-16T00:00:00"/>
    <x v="17"/>
    <d v="2018-02-23T00:00:00"/>
    <x v="0"/>
    <d v="2018-02-22T00:00:00"/>
    <x v="1"/>
    <x v="1"/>
    <x v="0"/>
    <s v="4a3ca9315b744ce9f8e9374361493884"/>
    <x v="0"/>
    <x v="0"/>
    <x v="4"/>
    <n v="41.8"/>
    <n v="16.79"/>
    <n v="58.59"/>
    <s v="Estimated 2018-03-16; handed to carrier 2018-02-22; no delivery recorded by end of 2018-03-18"/>
    <x v="1"/>
    <x v="0"/>
    <x v="0"/>
    <x v="0"/>
  </r>
  <r>
    <n v="458"/>
    <x v="2"/>
    <x v="0"/>
    <x v="1"/>
    <x v="1"/>
    <s v="9f484bd34c118fb45ac92da12aa484bc"/>
    <d v="2018-02-19T00:00:00"/>
    <d v="2018-03-16T00:00:00"/>
    <x v="17"/>
    <d v="2018-02-23T00:00:00"/>
    <x v="0"/>
    <d v="2018-02-22T00:00:00"/>
    <x v="1"/>
    <x v="1"/>
    <x v="0"/>
    <s v="955fee9216a65b617aa5c0531780ce60"/>
    <x v="0"/>
    <x v="0"/>
    <x v="8"/>
    <n v="35"/>
    <n v="16.11"/>
    <n v="51.11"/>
    <s v="Estimated 2018-03-16; handed to carrier 2018-02-22; no delivery recorded by end of 2018-03-18"/>
    <x v="1"/>
    <x v="0"/>
    <x v="0"/>
    <x v="0"/>
  </r>
  <r>
    <n v="459"/>
    <x v="2"/>
    <x v="0"/>
    <x v="0"/>
    <x v="0"/>
    <s v="2805499c211b52dfc1e64a1349ef45e2"/>
    <d v="2018-02-19T00:00:00"/>
    <d v="2018-03-16T00:00:00"/>
    <x v="17"/>
    <d v="2018-02-23T00:00:00"/>
    <x v="0"/>
    <m/>
    <x v="1"/>
    <x v="1"/>
    <x v="0"/>
    <s v="d98eec89afa3380e14463da2aabaea72"/>
    <x v="0"/>
    <x v="8"/>
    <x v="3"/>
    <n v="34.99"/>
    <n v="14.1"/>
    <n v="49.09"/>
    <s v="Estimated 2018-03-16; approved 2018-02-19; ship-by 2018-02-23; not handed to carrier by end of 2018-03-18"/>
    <x v="0"/>
    <x v="0"/>
    <x v="0"/>
    <x v="0"/>
  </r>
  <r>
    <n v="460"/>
    <x v="2"/>
    <x v="0"/>
    <x v="1"/>
    <x v="1"/>
    <s v="23d0b20c60078dcc168f59918e82f76f"/>
    <d v="2018-02-17T00:00:00"/>
    <d v="2018-03-16T00:00:00"/>
    <x v="17"/>
    <d v="2018-02-26T00:00:00"/>
    <x v="0"/>
    <d v="2018-02-21T00:00:00"/>
    <x v="1"/>
    <x v="1"/>
    <x v="0"/>
    <s v="cc419e0650a3c5ba77189a1882b7556a"/>
    <x v="0"/>
    <x v="0"/>
    <x v="2"/>
    <n v="89.99"/>
    <n v="16.39"/>
    <n v="106.38"/>
    <s v="Estimated 2018-03-16; handed to carrier 2018-02-21; no delivery recorded by end of 2018-03-18"/>
    <x v="1"/>
    <x v="0"/>
    <x v="0"/>
    <x v="0"/>
  </r>
  <r>
    <n v="461"/>
    <x v="2"/>
    <x v="0"/>
    <x v="1"/>
    <x v="1"/>
    <s v="ec74f95e952a1019fb566fe39c383dfe"/>
    <d v="2018-02-15T00:00:00"/>
    <d v="2018-03-16T00:00:00"/>
    <x v="17"/>
    <d v="2018-02-26T00:00:00"/>
    <x v="0"/>
    <d v="2018-02-22T00:00:00"/>
    <x v="1"/>
    <x v="1"/>
    <x v="0"/>
    <s v="3d871de0142ce09b7081e2b9d1733cb1"/>
    <x v="0"/>
    <x v="0"/>
    <x v="5"/>
    <n v="89"/>
    <n v="17.87"/>
    <n v="106.87"/>
    <s v="Estimated 2018-03-16; handed to carrier 2018-02-22; no delivery recorded by end of 2018-03-18"/>
    <x v="1"/>
    <x v="0"/>
    <x v="0"/>
    <x v="0"/>
  </r>
  <r>
    <n v="462"/>
    <x v="2"/>
    <x v="0"/>
    <x v="1"/>
    <x v="1"/>
    <s v="2d2084741ee31a371ffe0b838051d0dc"/>
    <d v="2018-02-20T00:00:00"/>
    <d v="2018-03-16T00:00:00"/>
    <x v="17"/>
    <d v="2018-02-26T00:00:00"/>
    <x v="0"/>
    <d v="2018-02-22T00:00:00"/>
    <x v="1"/>
    <x v="1"/>
    <x v="0"/>
    <s v="4e7c18b98d84e05cbae3ff0ff03846c2"/>
    <x v="0"/>
    <x v="0"/>
    <x v="10"/>
    <n v="49"/>
    <n v="17.600000000000001"/>
    <n v="66.599999999999994"/>
    <s v="Estimated 2018-03-16; handed to carrier 2018-02-22; no delivery recorded by end of 2018-03-18"/>
    <x v="1"/>
    <x v="0"/>
    <x v="0"/>
    <x v="0"/>
  </r>
  <r>
    <n v="463"/>
    <x v="2"/>
    <x v="0"/>
    <x v="1"/>
    <x v="1"/>
    <s v="6b99ff92735c747557e84a5f5cd7a560"/>
    <d v="2018-02-21T00:00:00"/>
    <d v="2018-03-16T00:00:00"/>
    <x v="17"/>
    <d v="2018-02-27T00:00:00"/>
    <x v="0"/>
    <d v="2018-02-27T00:00:00"/>
    <x v="1"/>
    <x v="1"/>
    <x v="0"/>
    <s v="a3e9a2c700480d9bb01fba070ba80a0e"/>
    <x v="0"/>
    <x v="0"/>
    <x v="8"/>
    <n v="249"/>
    <n v="22.23"/>
    <n v="271.23"/>
    <s v="Estimated 2018-03-16; handed to carrier 2018-02-27; no delivery recorded by end of 2018-03-18"/>
    <x v="1"/>
    <x v="0"/>
    <x v="0"/>
    <x v="0"/>
  </r>
  <r>
    <n v="464"/>
    <x v="2"/>
    <x v="0"/>
    <x v="1"/>
    <x v="1"/>
    <s v="f09ab7ba678ff9971a9e9b52999030ea"/>
    <d v="2018-02-21T00:00:00"/>
    <d v="2018-03-16T00:00:00"/>
    <x v="17"/>
    <d v="2018-02-27T00:00:00"/>
    <x v="0"/>
    <d v="2018-02-22T00:00:00"/>
    <x v="1"/>
    <x v="1"/>
    <x v="0"/>
    <s v="77530e9772f57a62c906e1c21538ab82"/>
    <x v="0"/>
    <x v="3"/>
    <x v="1"/>
    <n v="119"/>
    <n v="20.07"/>
    <n v="139.07"/>
    <s v="Estimated 2018-03-16; handed to carrier 2018-02-22; no delivery recorded by end of 2018-03-18"/>
    <x v="1"/>
    <x v="0"/>
    <x v="0"/>
    <x v="0"/>
  </r>
  <r>
    <n v="465"/>
    <x v="2"/>
    <x v="0"/>
    <x v="1"/>
    <x v="1"/>
    <s v="3d237fd98f6bc4d3fd3a0eadda50b2a6"/>
    <d v="2018-02-21T00:00:00"/>
    <d v="2018-03-16T00:00:00"/>
    <x v="17"/>
    <d v="2018-02-27T00:00:00"/>
    <x v="0"/>
    <d v="2018-03-01T00:00:00"/>
    <x v="1"/>
    <x v="1"/>
    <x v="0"/>
    <s v="9674754b5a0cb32b638cec001178f799"/>
    <x v="0"/>
    <x v="0"/>
    <x v="2"/>
    <n v="63.14"/>
    <n v="16.2"/>
    <n v="79.34"/>
    <s v="Estimated 2018-03-16; handed to carrier 2018-03-01; no delivery recorded by end of 2018-03-18"/>
    <x v="1"/>
    <x v="0"/>
    <x v="0"/>
    <x v="0"/>
  </r>
  <r>
    <n v="466"/>
    <x v="2"/>
    <x v="0"/>
    <x v="1"/>
    <x v="1"/>
    <s v="b19f25f057ac96ff8c7746e9590989b3"/>
    <d v="2018-02-21T00:00:00"/>
    <d v="2018-03-16T00:00:00"/>
    <x v="17"/>
    <d v="2018-02-27T00:00:00"/>
    <x v="0"/>
    <d v="2018-03-01T00:00:00"/>
    <x v="1"/>
    <x v="1"/>
    <x v="0"/>
    <s v="9674754b5a0cb32b638cec001178f799"/>
    <x v="0"/>
    <x v="0"/>
    <x v="2"/>
    <n v="63.14"/>
    <n v="16.2"/>
    <n v="79.34"/>
    <s v="Estimated 2018-03-16; handed to carrier 2018-03-01; no delivery recorded by end of 2018-03-18"/>
    <x v="1"/>
    <x v="0"/>
    <x v="0"/>
    <x v="0"/>
  </r>
  <r>
    <n v="467"/>
    <x v="2"/>
    <x v="0"/>
    <x v="1"/>
    <x v="1"/>
    <s v="23fbdff7118cf3f2b0f4eb5b74f6ee2f"/>
    <d v="2018-02-21T00:00:00"/>
    <d v="2018-03-16T00:00:00"/>
    <x v="17"/>
    <d v="2018-02-27T00:00:00"/>
    <x v="0"/>
    <d v="2018-02-22T00:00:00"/>
    <x v="1"/>
    <x v="1"/>
    <x v="0"/>
    <s v="f7ccf836d21b2fb1de37564105216cc1"/>
    <x v="0"/>
    <x v="0"/>
    <x v="1"/>
    <n v="39"/>
    <n v="15.1"/>
    <n v="54.1"/>
    <s v="Estimated 2018-03-16; handed to carrier 2018-02-22; no delivery recorded by end of 2018-03-18"/>
    <x v="1"/>
    <x v="0"/>
    <x v="0"/>
    <x v="0"/>
  </r>
  <r>
    <n v="468"/>
    <x v="2"/>
    <x v="0"/>
    <x v="1"/>
    <x v="1"/>
    <s v="0799d89dedaf5ef08f3a90b967cb2ccd"/>
    <d v="2018-02-22T00:00:00"/>
    <d v="2018-03-16T00:00:00"/>
    <x v="17"/>
    <d v="2018-02-28T00:00:00"/>
    <x v="0"/>
    <d v="2018-03-05T00:00:00"/>
    <x v="1"/>
    <x v="1"/>
    <x v="0"/>
    <s v="822bad9bc42b51213ba522fe87b7ab5d"/>
    <x v="0"/>
    <x v="5"/>
    <x v="1"/>
    <n v="219"/>
    <n v="17.97"/>
    <n v="236.97"/>
    <s v="Estimated 2018-03-16; handed to carrier 2018-03-05; no delivery recorded by end of 2018-03-18"/>
    <x v="1"/>
    <x v="0"/>
    <x v="0"/>
    <x v="0"/>
  </r>
  <r>
    <n v="469"/>
    <x v="2"/>
    <x v="0"/>
    <x v="1"/>
    <x v="1"/>
    <s v="d555e208900fa538476880123fe0bf31"/>
    <d v="2018-02-23T00:00:00"/>
    <d v="2018-03-16T00:00:00"/>
    <x v="17"/>
    <d v="2018-02-28T00:00:00"/>
    <x v="0"/>
    <d v="2018-02-27T00:00:00"/>
    <x v="1"/>
    <x v="4"/>
    <x v="0"/>
    <s v="7d456afc660226829370f3173d14520c"/>
    <x v="0"/>
    <x v="0"/>
    <x v="2"/>
    <n v="216"/>
    <n v="50.25"/>
    <n v="266.25"/>
    <s v="Estimated 2018-03-16; handed to carrier 2018-02-27; no delivery recorded by end of 2018-03-18"/>
    <x v="1"/>
    <x v="0"/>
    <x v="0"/>
    <x v="0"/>
  </r>
  <r>
    <n v="470"/>
    <x v="2"/>
    <x v="0"/>
    <x v="1"/>
    <x v="1"/>
    <s v="c21a68b298ad2f57646d554dcb49fed8"/>
    <d v="2018-02-22T00:00:00"/>
    <d v="2018-03-16T00:00:00"/>
    <x v="17"/>
    <d v="2018-02-28T00:00:00"/>
    <x v="0"/>
    <d v="2018-02-27T00:00:00"/>
    <x v="1"/>
    <x v="2"/>
    <x v="0"/>
    <s v="7681ef142fd2c19048da7430856b5588"/>
    <x v="0"/>
    <x v="0"/>
    <x v="9"/>
    <n v="116"/>
    <n v="33.32"/>
    <n v="149.32"/>
    <s v="Estimated 2018-03-16; handed to carrier 2018-02-27; no delivery recorded by end of 2018-03-18"/>
    <x v="1"/>
    <x v="0"/>
    <x v="0"/>
    <x v="0"/>
  </r>
  <r>
    <n v="471"/>
    <x v="2"/>
    <x v="0"/>
    <x v="1"/>
    <x v="1"/>
    <s v="0e4a4de1d15b6df8d4335fb2db61667a"/>
    <d v="2018-02-22T00:00:00"/>
    <d v="2018-03-16T00:00:00"/>
    <x v="17"/>
    <d v="2018-02-28T00:00:00"/>
    <x v="0"/>
    <d v="2018-03-08T00:00:00"/>
    <x v="1"/>
    <x v="0"/>
    <x v="0"/>
    <s v="897060da8b9a21f655304d50fd935913"/>
    <x v="0"/>
    <x v="0"/>
    <x v="17"/>
    <n v="93.92"/>
    <n v="60.4"/>
    <n v="154.32"/>
    <s v="Estimated 2018-03-16; handed to carrier 2018-03-08; no delivery recorded by end of 2018-03-18"/>
    <x v="1"/>
    <x v="0"/>
    <x v="0"/>
    <x v="0"/>
  </r>
  <r>
    <n v="472"/>
    <x v="2"/>
    <x v="0"/>
    <x v="1"/>
    <x v="1"/>
    <s v="c1310d06e793969c9dfc72a433db577f"/>
    <d v="2018-02-22T00:00:00"/>
    <d v="2018-03-16T00:00:00"/>
    <x v="17"/>
    <d v="2018-02-28T00:00:00"/>
    <x v="0"/>
    <d v="2018-02-26T00:00:00"/>
    <x v="1"/>
    <x v="1"/>
    <x v="0"/>
    <s v="a3e9a2c700480d9bb01fba070ba80a0e"/>
    <x v="0"/>
    <x v="0"/>
    <x v="1"/>
    <n v="69"/>
    <n v="17.73"/>
    <n v="86.73"/>
    <s v="Estimated 2018-03-16; handed to carrier 2018-02-26; no delivery recorded by end of 2018-03-18"/>
    <x v="1"/>
    <x v="0"/>
    <x v="0"/>
    <x v="0"/>
  </r>
  <r>
    <n v="473"/>
    <x v="2"/>
    <x v="0"/>
    <x v="1"/>
    <x v="1"/>
    <s v="9df65e0ad2cbfa0485262629bb2b6605"/>
    <d v="2018-02-20T00:00:00"/>
    <d v="2018-03-16T00:00:00"/>
    <x v="17"/>
    <d v="2018-02-28T00:00:00"/>
    <x v="0"/>
    <d v="2018-02-27T00:00:00"/>
    <x v="1"/>
    <x v="1"/>
    <x v="0"/>
    <s v="26e2c91ef821e1ff8985f408788fe35b"/>
    <x v="0"/>
    <x v="0"/>
    <x v="8"/>
    <n v="57.5"/>
    <n v="15.15"/>
    <n v="72.650000000000006"/>
    <s v="Estimated 2018-03-16; handed to carrier 2018-02-27; no delivery recorded by end of 2018-03-18"/>
    <x v="1"/>
    <x v="0"/>
    <x v="0"/>
    <x v="0"/>
  </r>
  <r>
    <n v="474"/>
    <x v="2"/>
    <x v="0"/>
    <x v="1"/>
    <x v="1"/>
    <s v="33a3edb84b9df4cb49546859b990ac6d"/>
    <d v="2018-02-21T00:00:00"/>
    <d v="2018-03-16T00:00:00"/>
    <x v="17"/>
    <d v="2018-02-28T00:00:00"/>
    <x v="0"/>
    <d v="2018-02-23T00:00:00"/>
    <x v="1"/>
    <x v="1"/>
    <x v="0"/>
    <s v="1f50f920176fa81dab994f9023523100"/>
    <x v="0"/>
    <x v="0"/>
    <x v="2"/>
    <n v="49.9"/>
    <n v="17.600000000000001"/>
    <n v="67.5"/>
    <s v="Estimated 2018-03-16; handed to carrier 2018-02-23; no delivery recorded by end of 2018-03-18"/>
    <x v="1"/>
    <x v="0"/>
    <x v="0"/>
    <x v="0"/>
  </r>
  <r>
    <n v="475"/>
    <x v="2"/>
    <x v="0"/>
    <x v="0"/>
    <x v="0"/>
    <s v="457cb961f89e32569e2d9a737a65b3bb"/>
    <d v="2018-02-08T00:00:00"/>
    <d v="2018-03-16T00:00:00"/>
    <x v="17"/>
    <d v="2018-02-28T00:00:00"/>
    <x v="0"/>
    <m/>
    <x v="1"/>
    <x v="1"/>
    <x v="0"/>
    <s v="4c8b8048e33af2bf94f2eb547746a916"/>
    <x v="0"/>
    <x v="0"/>
    <x v="3"/>
    <n v="14.98"/>
    <n v="11.85"/>
    <n v="26.83"/>
    <s v="Estimated 2018-03-16; approved 2018-02-08; ship-by 2018-02-28; not handed to carrier by end of 2018-03-18"/>
    <x v="0"/>
    <x v="0"/>
    <x v="0"/>
    <x v="0"/>
  </r>
  <r>
    <n v="476"/>
    <x v="2"/>
    <x v="0"/>
    <x v="1"/>
    <x v="1"/>
    <s v="93fc25a3df1ceb609f6d18ec3ad2470e"/>
    <d v="2018-02-24T00:00:00"/>
    <d v="2018-03-16T00:00:00"/>
    <x v="17"/>
    <d v="2018-03-01T00:00:00"/>
    <x v="0"/>
    <d v="2018-02-27T00:00:00"/>
    <x v="1"/>
    <x v="1"/>
    <x v="0"/>
    <s v="d3dcf0604eabf0224fbd5948b5e02f69"/>
    <x v="0"/>
    <x v="0"/>
    <x v="1"/>
    <n v="549"/>
    <n v="18.600000000000001"/>
    <n v="567.6"/>
    <s v="Estimated 2018-03-16; handed to carrier 2018-02-27; no delivery recorded by end of 2018-03-18"/>
    <x v="1"/>
    <x v="0"/>
    <x v="0"/>
    <x v="0"/>
  </r>
  <r>
    <n v="477"/>
    <x v="2"/>
    <x v="0"/>
    <x v="1"/>
    <x v="1"/>
    <s v="6401cfe160d72392195bd6e311a582cd"/>
    <d v="2018-02-24T00:00:00"/>
    <d v="2018-03-16T00:00:00"/>
    <x v="17"/>
    <d v="2018-03-01T00:00:00"/>
    <x v="0"/>
    <d v="2018-03-13T00:00:00"/>
    <x v="1"/>
    <x v="1"/>
    <x v="0"/>
    <s v="08cdbae123ff67ca4e36d9d641ce0119"/>
    <x v="0"/>
    <x v="1"/>
    <x v="1"/>
    <n v="419"/>
    <n v="61.59"/>
    <n v="480.59"/>
    <s v="Estimated 2018-03-16; handed to carrier 2018-03-13; no delivery recorded by end of 2018-03-18"/>
    <x v="1"/>
    <x v="0"/>
    <x v="0"/>
    <x v="0"/>
  </r>
  <r>
    <n v="478"/>
    <x v="2"/>
    <x v="0"/>
    <x v="1"/>
    <x v="1"/>
    <s v="9f3df5bfd4a69a1bf384e85aba1d0ca7"/>
    <d v="2018-02-24T00:00:00"/>
    <d v="2018-03-16T00:00:00"/>
    <x v="17"/>
    <d v="2018-03-01T00:00:00"/>
    <x v="0"/>
    <d v="2018-02-26T00:00:00"/>
    <x v="1"/>
    <x v="1"/>
    <x v="0"/>
    <s v="5b8154610ebb21fb90eb587365e673df"/>
    <x v="0"/>
    <x v="0"/>
    <x v="1"/>
    <n v="327.49"/>
    <n v="28.61"/>
    <n v="356.1"/>
    <s v="Estimated 2018-03-16; handed to carrier 2018-02-26; no delivery recorded by end of 2018-03-18"/>
    <x v="1"/>
    <x v="0"/>
    <x v="0"/>
    <x v="0"/>
  </r>
  <r>
    <n v="479"/>
    <x v="2"/>
    <x v="0"/>
    <x v="1"/>
    <x v="1"/>
    <s v="c537dcd8b3ea902501cfa7610144a641"/>
    <d v="2018-02-24T00:00:00"/>
    <d v="2018-03-16T00:00:00"/>
    <x v="17"/>
    <d v="2018-03-01T00:00:00"/>
    <x v="0"/>
    <d v="2018-02-27T00:00:00"/>
    <x v="1"/>
    <x v="1"/>
    <x v="0"/>
    <s v="f125f3a310c2e5f822d116147de1e474"/>
    <x v="0"/>
    <x v="0"/>
    <x v="1"/>
    <n v="261"/>
    <n v="15.58"/>
    <n v="276.58"/>
    <s v="Estimated 2018-03-16; handed to carrier 2018-02-27; no delivery recorded by end of 2018-03-18"/>
    <x v="1"/>
    <x v="0"/>
    <x v="0"/>
    <x v="0"/>
  </r>
  <r>
    <n v="480"/>
    <x v="2"/>
    <x v="0"/>
    <x v="1"/>
    <x v="1"/>
    <s v="72a055afec5322997eace70e9f743482"/>
    <d v="2018-02-24T00:00:00"/>
    <d v="2018-03-16T00:00:00"/>
    <x v="17"/>
    <d v="2018-03-01T00:00:00"/>
    <x v="0"/>
    <d v="2018-02-27T00:00:00"/>
    <x v="1"/>
    <x v="1"/>
    <x v="0"/>
    <s v="7d13fca15225358621be4086e1eb0964"/>
    <x v="0"/>
    <x v="0"/>
    <x v="3"/>
    <n v="260"/>
    <n v="13.32"/>
    <n v="273.32"/>
    <s v="Estimated 2018-03-16; handed to carrier 2018-02-27; no delivery recorded by end of 2018-03-18"/>
    <x v="1"/>
    <x v="0"/>
    <x v="0"/>
    <x v="0"/>
  </r>
  <r>
    <n v="481"/>
    <x v="2"/>
    <x v="0"/>
    <x v="1"/>
    <x v="1"/>
    <s v="2b36fe8c73edb9af80b2d3e73b46122a"/>
    <d v="2018-02-25T00:00:00"/>
    <d v="2018-03-16T00:00:00"/>
    <x v="17"/>
    <d v="2018-03-01T00:00:00"/>
    <x v="0"/>
    <d v="2018-02-27T00:00:00"/>
    <x v="1"/>
    <x v="2"/>
    <x v="0"/>
    <s v="cd68562d3f44870c08922d380acae552"/>
    <x v="0"/>
    <x v="0"/>
    <x v="3"/>
    <n v="198"/>
    <n v="24.38"/>
    <n v="222.38"/>
    <s v="Estimated 2018-03-16; handed to carrier 2018-02-27; no delivery recorded by end of 2018-03-18"/>
    <x v="1"/>
    <x v="0"/>
    <x v="0"/>
    <x v="0"/>
  </r>
  <r>
    <n v="482"/>
    <x v="2"/>
    <x v="0"/>
    <x v="1"/>
    <x v="1"/>
    <s v="35f741bc89012d1594cfb82d0d9da8b8"/>
    <d v="2018-02-25T00:00:00"/>
    <d v="2018-03-16T00:00:00"/>
    <x v="17"/>
    <d v="2018-03-01T00:00:00"/>
    <x v="0"/>
    <d v="2018-02-27T00:00:00"/>
    <x v="1"/>
    <x v="1"/>
    <x v="0"/>
    <s v="d5ba419e26d246a0719437cf37d9b46d"/>
    <x v="0"/>
    <x v="0"/>
    <x v="1"/>
    <n v="196"/>
    <n v="16.13"/>
    <n v="212.13"/>
    <s v="Estimated 2018-03-16; handed to carrier 2018-02-27; no delivery recorded by end of 2018-03-18"/>
    <x v="1"/>
    <x v="0"/>
    <x v="0"/>
    <x v="0"/>
  </r>
  <r>
    <n v="483"/>
    <x v="2"/>
    <x v="0"/>
    <x v="1"/>
    <x v="1"/>
    <s v="5c1995c020e0a3b2b23152b3fcfcda76"/>
    <d v="2018-02-25T00:00:00"/>
    <d v="2018-03-16T00:00:00"/>
    <x v="17"/>
    <d v="2018-03-01T00:00:00"/>
    <x v="0"/>
    <d v="2018-02-27T00:00:00"/>
    <x v="1"/>
    <x v="1"/>
    <x v="0"/>
    <s v="891071be6ba827b591264c90c2ae8a63"/>
    <x v="0"/>
    <x v="0"/>
    <x v="1"/>
    <n v="149.99"/>
    <n v="15.81"/>
    <n v="165.8"/>
    <s v="Estimated 2018-03-16; handed to carrier 2018-02-27; no delivery recorded by end of 2018-03-18"/>
    <x v="1"/>
    <x v="0"/>
    <x v="0"/>
    <x v="0"/>
  </r>
  <r>
    <n v="484"/>
    <x v="2"/>
    <x v="0"/>
    <x v="1"/>
    <x v="1"/>
    <s v="923b32346120d8512fe32b6842bad3c1"/>
    <d v="2018-02-24T00:00:00"/>
    <d v="2018-03-16T00:00:00"/>
    <x v="17"/>
    <d v="2018-03-01T00:00:00"/>
    <x v="0"/>
    <d v="2018-02-27T00:00:00"/>
    <x v="1"/>
    <x v="1"/>
    <x v="0"/>
    <s v="891071be6ba827b591264c90c2ae8a63"/>
    <x v="0"/>
    <x v="0"/>
    <x v="1"/>
    <n v="149.99"/>
    <n v="15.81"/>
    <n v="165.8"/>
    <s v="Estimated 2018-03-16; handed to carrier 2018-02-27; no delivery recorded by end of 2018-03-18"/>
    <x v="1"/>
    <x v="0"/>
    <x v="0"/>
    <x v="0"/>
  </r>
  <r>
    <n v="485"/>
    <x v="2"/>
    <x v="0"/>
    <x v="1"/>
    <x v="1"/>
    <s v="f636244e2204ad1803e13b363792d655"/>
    <d v="2018-02-23T00:00:00"/>
    <d v="2018-03-16T00:00:00"/>
    <x v="17"/>
    <d v="2018-03-01T00:00:00"/>
    <x v="0"/>
    <d v="2018-02-26T00:00:00"/>
    <x v="1"/>
    <x v="1"/>
    <x v="0"/>
    <s v="5bc55dbe2f12b6af6d83ed46023e0dc8"/>
    <x v="0"/>
    <x v="1"/>
    <x v="1"/>
    <n v="123.9"/>
    <n v="15.62"/>
    <n v="139.52000000000001"/>
    <s v="Estimated 2018-03-16; handed to carrier 2018-02-26; no delivery recorded by end of 2018-03-18"/>
    <x v="1"/>
    <x v="0"/>
    <x v="0"/>
    <x v="0"/>
  </r>
  <r>
    <n v="486"/>
    <x v="2"/>
    <x v="0"/>
    <x v="1"/>
    <x v="1"/>
    <s v="649a327bed5a2799967cb9c666ff06c1"/>
    <d v="2018-02-23T00:00:00"/>
    <d v="2018-03-16T00:00:00"/>
    <x v="17"/>
    <d v="2018-03-01T00:00:00"/>
    <x v="0"/>
    <d v="2018-02-28T00:00:00"/>
    <x v="1"/>
    <x v="1"/>
    <x v="0"/>
    <s v="ef0ace09169ac090589d85746e3e036f"/>
    <x v="0"/>
    <x v="4"/>
    <x v="3"/>
    <n v="119.9"/>
    <n v="14.59"/>
    <n v="134.49"/>
    <s v="Estimated 2018-03-16; handed to carrier 2018-02-28; no delivery recorded by end of 2018-03-18"/>
    <x v="1"/>
    <x v="0"/>
    <x v="0"/>
    <x v="0"/>
  </r>
  <r>
    <n v="487"/>
    <x v="2"/>
    <x v="0"/>
    <x v="1"/>
    <x v="1"/>
    <s v="1e07ba4e9a6dafcecd0c46111e477e5c"/>
    <d v="2018-02-15T00:00:00"/>
    <d v="2018-03-16T00:00:00"/>
    <x v="17"/>
    <d v="2018-03-01T00:00:00"/>
    <x v="0"/>
    <d v="2018-02-16T00:00:00"/>
    <x v="1"/>
    <x v="1"/>
    <x v="0"/>
    <s v="5a93f3ab0ef4c84ed5e1b5dbf23978bc"/>
    <x v="0"/>
    <x v="0"/>
    <x v="1"/>
    <n v="116.91"/>
    <n v="15.57"/>
    <n v="132.47999999999999"/>
    <s v="Estimated 2018-03-16; handed to carrier 2018-02-16; no delivery recorded by end of 2018-03-18"/>
    <x v="1"/>
    <x v="0"/>
    <x v="0"/>
    <x v="0"/>
  </r>
  <r>
    <n v="488"/>
    <x v="2"/>
    <x v="0"/>
    <x v="1"/>
    <x v="1"/>
    <s v="c124ca6c2e3c84647f8694c95abec68b"/>
    <d v="2018-02-19T00:00:00"/>
    <d v="2018-03-16T00:00:00"/>
    <x v="17"/>
    <d v="2018-03-01T00:00:00"/>
    <x v="0"/>
    <d v="2018-02-22T00:00:00"/>
    <x v="1"/>
    <x v="1"/>
    <x v="0"/>
    <s v="4869f7a5dfa277a7dca6462dcf3b52b2"/>
    <x v="0"/>
    <x v="0"/>
    <x v="1"/>
    <n v="109.9"/>
    <n v="21.26"/>
    <n v="131.16"/>
    <s v="Estimated 2018-03-16; handed to carrier 2018-02-22; no delivery recorded by end of 2018-03-18"/>
    <x v="1"/>
    <x v="0"/>
    <x v="0"/>
    <x v="0"/>
  </r>
  <r>
    <n v="489"/>
    <x v="2"/>
    <x v="0"/>
    <x v="1"/>
    <x v="1"/>
    <s v="6deb36cf66e9099e0a5896a34db6c7c2"/>
    <d v="2018-02-21T00:00:00"/>
    <d v="2018-03-16T00:00:00"/>
    <x v="17"/>
    <d v="2018-03-01T00:00:00"/>
    <x v="0"/>
    <d v="2018-03-02T00:00:00"/>
    <x v="1"/>
    <x v="1"/>
    <x v="0"/>
    <s v="128639473a139ac0f3e5f5ade55873a5"/>
    <x v="0"/>
    <x v="3"/>
    <x v="1"/>
    <n v="89.9"/>
    <n v="17.07"/>
    <n v="106.97"/>
    <s v="Estimated 2018-03-16; handed to carrier 2018-03-02; no delivery recorded by end of 2018-03-18"/>
    <x v="1"/>
    <x v="0"/>
    <x v="0"/>
    <x v="0"/>
  </r>
  <r>
    <n v="490"/>
    <x v="2"/>
    <x v="0"/>
    <x v="1"/>
    <x v="1"/>
    <s v="cc61a8a634ed495116b2ce1fc8d1a1e1"/>
    <d v="2018-02-24T00:00:00"/>
    <d v="2018-03-16T00:00:00"/>
    <x v="17"/>
    <d v="2018-03-01T00:00:00"/>
    <x v="0"/>
    <d v="2018-02-26T00:00:00"/>
    <x v="1"/>
    <x v="1"/>
    <x v="0"/>
    <s v="c1f12f926d0ba950578b4fa41115cbb6"/>
    <x v="0"/>
    <x v="0"/>
    <x v="1"/>
    <n v="89.9"/>
    <n v="14.38"/>
    <n v="104.28"/>
    <s v="Estimated 2018-03-16; handed to carrier 2018-02-26; no delivery recorded by end of 2018-03-18"/>
    <x v="1"/>
    <x v="0"/>
    <x v="0"/>
    <x v="0"/>
  </r>
  <r>
    <n v="491"/>
    <x v="2"/>
    <x v="0"/>
    <x v="1"/>
    <x v="1"/>
    <s v="0f7a031ff7235289c8ce7270cac7c4ec"/>
    <d v="2018-02-21T00:00:00"/>
    <d v="2018-03-16T00:00:00"/>
    <x v="17"/>
    <d v="2018-03-01T00:00:00"/>
    <x v="0"/>
    <d v="2018-02-28T00:00:00"/>
    <x v="1"/>
    <x v="1"/>
    <x v="0"/>
    <s v="6039e27294dc75811c0d8a39069f52c0"/>
    <x v="0"/>
    <x v="0"/>
    <x v="1"/>
    <n v="79.900000000000006"/>
    <n v="21.05"/>
    <n v="100.95"/>
    <s v="Estimated 2018-03-16; handed to carrier 2018-02-28; no delivery recorded by end of 2018-03-18"/>
    <x v="1"/>
    <x v="0"/>
    <x v="0"/>
    <x v="0"/>
  </r>
  <r>
    <n v="492"/>
    <x v="2"/>
    <x v="0"/>
    <x v="1"/>
    <x v="1"/>
    <s v="64e0ed97e04ee5c08429934ecab18de9"/>
    <d v="2018-02-23T00:00:00"/>
    <d v="2018-03-16T00:00:00"/>
    <x v="17"/>
    <d v="2018-03-01T00:00:00"/>
    <x v="0"/>
    <d v="2018-02-27T00:00:00"/>
    <x v="1"/>
    <x v="1"/>
    <x v="0"/>
    <s v="1f50f920176fa81dab994f9023523100"/>
    <x v="0"/>
    <x v="0"/>
    <x v="1"/>
    <n v="53.9"/>
    <n v="17.63"/>
    <n v="71.53"/>
    <s v="Estimated 2018-03-16; handed to carrier 2018-02-27; no delivery recorded by end of 2018-03-18"/>
    <x v="1"/>
    <x v="0"/>
    <x v="0"/>
    <x v="0"/>
  </r>
  <r>
    <n v="493"/>
    <x v="2"/>
    <x v="0"/>
    <x v="0"/>
    <x v="0"/>
    <s v="0f42926c2892dcd8785fd0c27c5876aa"/>
    <d v="2018-02-24T00:00:00"/>
    <d v="2018-03-16T00:00:00"/>
    <x v="17"/>
    <d v="2018-03-01T00:00:00"/>
    <x v="0"/>
    <m/>
    <x v="1"/>
    <x v="1"/>
    <x v="0"/>
    <s v="a17f621c590ea0fab3d5d883e1630ec6"/>
    <x v="0"/>
    <x v="0"/>
    <x v="1"/>
    <n v="53.33"/>
    <n v="16.13"/>
    <n v="69.459999999999994"/>
    <s v="Estimated 2018-03-16; approved 2018-02-24; ship-by 2018-03-01; not handed to carrier by end of 2018-03-18"/>
    <x v="0"/>
    <x v="0"/>
    <x v="0"/>
    <x v="0"/>
  </r>
  <r>
    <n v="494"/>
    <x v="2"/>
    <x v="0"/>
    <x v="1"/>
    <x v="1"/>
    <s v="31c2a1051b9b9899d82d9b980ec8775d"/>
    <d v="2018-02-24T00:00:00"/>
    <d v="2018-03-16T00:00:00"/>
    <x v="17"/>
    <d v="2018-03-01T00:00:00"/>
    <x v="0"/>
    <d v="2018-02-27T00:00:00"/>
    <x v="1"/>
    <x v="1"/>
    <x v="0"/>
    <s v="2d50d6282f8aa2257819a77bfaa0efe0"/>
    <x v="0"/>
    <x v="0"/>
    <x v="3"/>
    <n v="50"/>
    <n v="11.85"/>
    <n v="61.85"/>
    <s v="Estimated 2018-03-16; handed to carrier 2018-02-27; no delivery recorded by end of 2018-03-18"/>
    <x v="1"/>
    <x v="0"/>
    <x v="0"/>
    <x v="0"/>
  </r>
  <r>
    <n v="495"/>
    <x v="2"/>
    <x v="0"/>
    <x v="1"/>
    <x v="1"/>
    <s v="11642b906362f0d80a1228e1fa45a18e"/>
    <d v="2018-02-24T00:00:00"/>
    <d v="2018-03-16T00:00:00"/>
    <x v="17"/>
    <d v="2018-03-01T00:00:00"/>
    <x v="0"/>
    <d v="2018-02-27T00:00:00"/>
    <x v="1"/>
    <x v="2"/>
    <x v="0"/>
    <s v="8b321bb669392f5163d04c59e235e066"/>
    <x v="0"/>
    <x v="0"/>
    <x v="1"/>
    <n v="47.4"/>
    <n v="28.2"/>
    <n v="75.599999999999994"/>
    <s v="Estimated 2018-03-16; handed to carrier 2018-02-27; no delivery recorded by end of 2018-03-18"/>
    <x v="1"/>
    <x v="0"/>
    <x v="0"/>
    <x v="0"/>
  </r>
  <r>
    <n v="496"/>
    <x v="2"/>
    <x v="0"/>
    <x v="1"/>
    <x v="1"/>
    <s v="38035a76fee1437dca92e94b3e057af6"/>
    <d v="2018-02-23T00:00:00"/>
    <d v="2018-03-16T00:00:00"/>
    <x v="17"/>
    <d v="2018-03-01T00:00:00"/>
    <x v="0"/>
    <d v="2018-03-01T00:00:00"/>
    <x v="1"/>
    <x v="1"/>
    <x v="0"/>
    <s v="4c2b230173bb36f9b240f2b8ac11786e"/>
    <x v="0"/>
    <x v="0"/>
    <x v="10"/>
    <n v="45.9"/>
    <n v="14.1"/>
    <n v="60"/>
    <s v="Estimated 2018-03-16; handed to carrier 2018-03-01; no delivery recorded by end of 2018-03-18"/>
    <x v="1"/>
    <x v="0"/>
    <x v="0"/>
    <x v="0"/>
  </r>
  <r>
    <n v="497"/>
    <x v="2"/>
    <x v="0"/>
    <x v="1"/>
    <x v="1"/>
    <s v="8afe93422f74d4eb5b74349a643d94e3"/>
    <d v="2018-02-23T00:00:00"/>
    <d v="2018-03-16T00:00:00"/>
    <x v="17"/>
    <d v="2018-03-01T00:00:00"/>
    <x v="0"/>
    <d v="2018-02-27T00:00:00"/>
    <x v="1"/>
    <x v="1"/>
    <x v="0"/>
    <s v="f84a00e60c73a49e7e851c9bdca3a5bb"/>
    <x v="0"/>
    <x v="4"/>
    <x v="3"/>
    <n v="44.7"/>
    <n v="49.09"/>
    <n v="93.79"/>
    <s v="Estimated 2018-03-16; handed to carrier 2018-02-27; no delivery recorded by end of 2018-03-18"/>
    <x v="1"/>
    <x v="0"/>
    <x v="0"/>
    <x v="0"/>
  </r>
  <r>
    <n v="498"/>
    <x v="2"/>
    <x v="0"/>
    <x v="1"/>
    <x v="1"/>
    <s v="62dfd92a1007e2ed2fa4403fef1363ba"/>
    <d v="2018-02-25T00:00:00"/>
    <d v="2018-03-16T00:00:00"/>
    <x v="17"/>
    <d v="2018-03-01T00:00:00"/>
    <x v="0"/>
    <d v="2018-02-28T00:00:00"/>
    <x v="1"/>
    <x v="1"/>
    <x v="0"/>
    <s v="2e1c9f22be269ef4643f826c9e650a52"/>
    <x v="0"/>
    <x v="0"/>
    <x v="1"/>
    <n v="41.49"/>
    <n v="14.1"/>
    <n v="55.59"/>
    <s v="Estimated 2018-03-16; handed to carrier 2018-02-28; no delivery recorded by end of 2018-03-18"/>
    <x v="1"/>
    <x v="0"/>
    <x v="0"/>
    <x v="0"/>
  </r>
  <r>
    <n v="499"/>
    <x v="2"/>
    <x v="0"/>
    <x v="1"/>
    <x v="1"/>
    <s v="fa86f95c2bce5958b1d9236da9f96926"/>
    <d v="2018-02-25T00:00:00"/>
    <d v="2018-03-16T00:00:00"/>
    <x v="17"/>
    <d v="2018-03-01T00:00:00"/>
    <x v="0"/>
    <d v="2018-02-27T00:00:00"/>
    <x v="1"/>
    <x v="1"/>
    <x v="0"/>
    <s v="8b321bb669392f5163d04c59e235e066"/>
    <x v="0"/>
    <x v="0"/>
    <x v="1"/>
    <n v="23.7"/>
    <n v="14.1"/>
    <n v="37.799999999999997"/>
    <s v="Estimated 2018-03-16; handed to carrier 2018-02-27; no delivery recorded by end of 2018-03-18"/>
    <x v="1"/>
    <x v="0"/>
    <x v="0"/>
    <x v="0"/>
  </r>
  <r>
    <n v="500"/>
    <x v="2"/>
    <x v="0"/>
    <x v="1"/>
    <x v="1"/>
    <s v="9e97400ef316f1d0209aec475ab50554"/>
    <d v="2018-02-25T00:00:00"/>
    <d v="2018-03-16T00:00:00"/>
    <x v="17"/>
    <d v="2018-03-01T00:00:00"/>
    <x v="0"/>
    <d v="2018-02-28T00:00:00"/>
    <x v="1"/>
    <x v="1"/>
    <x v="0"/>
    <s v="e9779976487b77c6d4ac45f75ec7afe9"/>
    <x v="0"/>
    <x v="0"/>
    <x v="3"/>
    <n v="19.489999999999998"/>
    <n v="11.85"/>
    <n v="31.34"/>
    <s v="Estimated 2018-03-16; handed to carrier 2018-02-28; no delivery recorded by end of 2018-03-18"/>
    <x v="1"/>
    <x v="0"/>
    <x v="0"/>
    <x v="0"/>
  </r>
  <r>
    <n v="501"/>
    <x v="2"/>
    <x v="0"/>
    <x v="1"/>
    <x v="1"/>
    <s v="c679466a1ba6a8bdedcb2396f9e1dcbd"/>
    <d v="2018-02-25T00:00:00"/>
    <d v="2018-03-16T00:00:00"/>
    <x v="17"/>
    <d v="2018-03-01T00:00:00"/>
    <x v="0"/>
    <d v="2018-02-27T00:00:00"/>
    <x v="1"/>
    <x v="1"/>
    <x v="0"/>
    <s v="8b321bb669392f5163d04c59e235e066"/>
    <x v="0"/>
    <x v="0"/>
    <x v="1"/>
    <n v="13.65"/>
    <n v="14.1"/>
    <n v="27.75"/>
    <s v="Estimated 2018-03-16; handed to carrier 2018-02-27; no delivery recorded by end of 2018-03-18"/>
    <x v="1"/>
    <x v="0"/>
    <x v="0"/>
    <x v="0"/>
  </r>
  <r>
    <n v="502"/>
    <x v="2"/>
    <x v="0"/>
    <x v="1"/>
    <x v="1"/>
    <s v="f803d953d504e923f69704f85b325828"/>
    <d v="2018-02-25T00:00:00"/>
    <d v="2018-03-16T00:00:00"/>
    <x v="17"/>
    <d v="2018-03-01T00:00:00"/>
    <x v="0"/>
    <d v="2018-02-27T00:00:00"/>
    <x v="1"/>
    <x v="1"/>
    <x v="0"/>
    <s v="8b321bb669392f5163d04c59e235e066"/>
    <x v="0"/>
    <x v="0"/>
    <x v="3"/>
    <n v="13.65"/>
    <n v="11.85"/>
    <n v="25.5"/>
    <s v="Estimated 2018-03-16; handed to carrier 2018-02-27; no delivery recorded by end of 2018-03-18"/>
    <x v="1"/>
    <x v="0"/>
    <x v="0"/>
    <x v="0"/>
  </r>
  <r>
    <n v="503"/>
    <x v="2"/>
    <x v="0"/>
    <x v="1"/>
    <x v="1"/>
    <s v="0dd03c63e61e99a366429e9348db886b"/>
    <d v="2018-02-26T00:00:00"/>
    <d v="2018-03-16T00:00:00"/>
    <x v="17"/>
    <d v="2018-03-02T00:00:00"/>
    <x v="0"/>
    <d v="2018-02-28T00:00:00"/>
    <x v="1"/>
    <x v="1"/>
    <x v="0"/>
    <s v="f7ba60f8c3f99e7ee4042fdef03b70c4"/>
    <x v="0"/>
    <x v="0"/>
    <x v="1"/>
    <n v="325"/>
    <n v="16.02"/>
    <n v="341.02"/>
    <s v="Estimated 2018-03-16; handed to carrier 2018-02-28; no delivery recorded by end of 2018-03-18"/>
    <x v="1"/>
    <x v="0"/>
    <x v="0"/>
    <x v="0"/>
  </r>
  <r>
    <n v="504"/>
    <x v="2"/>
    <x v="0"/>
    <x v="1"/>
    <x v="1"/>
    <s v="22cd5c06a19914a8094c39a506a7ac05"/>
    <d v="2018-02-26T00:00:00"/>
    <d v="2018-03-16T00:00:00"/>
    <x v="17"/>
    <d v="2018-03-02T00:00:00"/>
    <x v="0"/>
    <d v="2018-02-27T00:00:00"/>
    <x v="1"/>
    <x v="1"/>
    <x v="0"/>
    <s v="7e1fb0a3ebfb01ffb3a7dae98bf3238d"/>
    <x v="0"/>
    <x v="0"/>
    <x v="3"/>
    <n v="150"/>
    <n v="12.55"/>
    <n v="162.55000000000001"/>
    <s v="Estimated 2018-03-16; handed to carrier 2018-02-27; no delivery recorded by end of 2018-03-18"/>
    <x v="1"/>
    <x v="0"/>
    <x v="0"/>
    <x v="0"/>
  </r>
  <r>
    <n v="505"/>
    <x v="2"/>
    <x v="0"/>
    <x v="1"/>
    <x v="1"/>
    <s v="172fec73f3614b511c8ae819916ae54a"/>
    <d v="2018-02-26T00:00:00"/>
    <d v="2018-03-16T00:00:00"/>
    <x v="17"/>
    <d v="2018-03-02T00:00:00"/>
    <x v="0"/>
    <d v="2018-02-27T00:00:00"/>
    <x v="1"/>
    <x v="1"/>
    <x v="0"/>
    <s v="4a3ca9315b744ce9f8e9374361493884"/>
    <x v="0"/>
    <x v="0"/>
    <x v="3"/>
    <n v="86.9"/>
    <n v="16.239999999999998"/>
    <n v="103.14"/>
    <s v="Estimated 2018-03-16; handed to carrier 2018-02-27; no delivery recorded by end of 2018-03-18"/>
    <x v="1"/>
    <x v="0"/>
    <x v="0"/>
    <x v="0"/>
  </r>
  <r>
    <n v="506"/>
    <x v="2"/>
    <x v="0"/>
    <x v="1"/>
    <x v="1"/>
    <s v="18c643cade587cd125b3a56377985cac"/>
    <d v="2018-02-26T00:00:00"/>
    <d v="2018-03-16T00:00:00"/>
    <x v="17"/>
    <d v="2018-03-02T00:00:00"/>
    <x v="0"/>
    <d v="2018-02-27T00:00:00"/>
    <x v="1"/>
    <x v="1"/>
    <x v="0"/>
    <s v="4a3ca9315b744ce9f8e9374361493884"/>
    <x v="0"/>
    <x v="0"/>
    <x v="3"/>
    <n v="86.9"/>
    <n v="16.239999999999998"/>
    <n v="103.14"/>
    <s v="Estimated 2018-03-16; handed to carrier 2018-02-27; no delivery recorded by end of 2018-03-18"/>
    <x v="1"/>
    <x v="0"/>
    <x v="0"/>
    <x v="0"/>
  </r>
  <r>
    <n v="507"/>
    <x v="2"/>
    <x v="0"/>
    <x v="1"/>
    <x v="1"/>
    <s v="71e297393a1e63537a76e338c10dbff8"/>
    <d v="2018-02-26T00:00:00"/>
    <d v="2018-03-16T00:00:00"/>
    <x v="17"/>
    <d v="2018-03-02T00:00:00"/>
    <x v="0"/>
    <d v="2018-03-07T00:00:00"/>
    <x v="1"/>
    <x v="1"/>
    <x v="0"/>
    <s v="8e6d7754bc7e0f22c96d255ebda59eba"/>
    <x v="0"/>
    <x v="0"/>
    <x v="1"/>
    <n v="74.89"/>
    <n v="16.28"/>
    <n v="91.17"/>
    <s v="Estimated 2018-03-16; handed to carrier 2018-03-07; no delivery recorded by end of 2018-03-18"/>
    <x v="1"/>
    <x v="0"/>
    <x v="0"/>
    <x v="0"/>
  </r>
  <r>
    <n v="508"/>
    <x v="2"/>
    <x v="0"/>
    <x v="1"/>
    <x v="1"/>
    <s v="093b4a025c91a570d1f3b60d428b60a0"/>
    <d v="2018-02-26T00:00:00"/>
    <d v="2018-03-16T00:00:00"/>
    <x v="17"/>
    <d v="2018-03-02T00:00:00"/>
    <x v="0"/>
    <d v="2018-03-07T00:00:00"/>
    <x v="1"/>
    <x v="1"/>
    <x v="0"/>
    <s v="8e6d7754bc7e0f22c96d255ebda59eba"/>
    <x v="0"/>
    <x v="0"/>
    <x v="1"/>
    <n v="69.900000000000006"/>
    <n v="16.25"/>
    <n v="86.15"/>
    <s v="Estimated 2018-03-16; handed to carrier 2018-03-07; no delivery recorded by end of 2018-03-18"/>
    <x v="1"/>
    <x v="0"/>
    <x v="0"/>
    <x v="0"/>
  </r>
  <r>
    <n v="509"/>
    <x v="2"/>
    <x v="0"/>
    <x v="1"/>
    <x v="1"/>
    <s v="b6de63fa8c62aeba6eb781539030a825"/>
    <d v="2018-02-23T00:00:00"/>
    <d v="2018-03-16T00:00:00"/>
    <x v="17"/>
    <d v="2018-03-02T00:00:00"/>
    <x v="0"/>
    <d v="2018-02-27T00:00:00"/>
    <x v="1"/>
    <x v="1"/>
    <x v="0"/>
    <s v="955fee9216a65b617aa5c0531780ce60"/>
    <x v="0"/>
    <x v="0"/>
    <x v="1"/>
    <n v="69.900000000000006"/>
    <n v="19.98"/>
    <n v="89.88"/>
    <s v="Estimated 2018-03-16; handed to carrier 2018-02-27; no delivery recorded by end of 2018-03-18"/>
    <x v="1"/>
    <x v="0"/>
    <x v="0"/>
    <x v="0"/>
  </r>
  <r>
    <n v="510"/>
    <x v="2"/>
    <x v="0"/>
    <x v="1"/>
    <x v="1"/>
    <s v="ccbabfa81bc2a6cb8f2326278a01d55c"/>
    <d v="2018-02-26T00:00:00"/>
    <d v="2018-03-16T00:00:00"/>
    <x v="17"/>
    <d v="2018-03-02T00:00:00"/>
    <x v="0"/>
    <d v="2018-02-27T00:00:00"/>
    <x v="1"/>
    <x v="1"/>
    <x v="0"/>
    <s v="d1c281d3ae149232351cd8c8cc885f0d"/>
    <x v="0"/>
    <x v="0"/>
    <x v="3"/>
    <n v="56.99"/>
    <n v="13.42"/>
    <n v="70.41"/>
    <s v="Estimated 2018-03-16; handed to carrier 2018-02-27; no delivery recorded by end of 2018-03-18"/>
    <x v="1"/>
    <x v="0"/>
    <x v="0"/>
    <x v="0"/>
  </r>
  <r>
    <n v="511"/>
    <x v="2"/>
    <x v="0"/>
    <x v="1"/>
    <x v="1"/>
    <s v="d5af8fc30f7ecc4a1b23de7dc0377e9f"/>
    <d v="2018-02-26T00:00:00"/>
    <d v="2018-03-16T00:00:00"/>
    <x v="17"/>
    <d v="2018-03-02T00:00:00"/>
    <x v="0"/>
    <d v="2018-03-01T00:00:00"/>
    <x v="1"/>
    <x v="1"/>
    <x v="0"/>
    <s v="4a3ca9315b744ce9f8e9374361493884"/>
    <x v="0"/>
    <x v="0"/>
    <x v="3"/>
    <n v="48.9"/>
    <n v="11.85"/>
    <n v="60.75"/>
    <s v="Estimated 2018-03-16; handed to carrier 2018-03-01; no delivery recorded by end of 2018-03-18"/>
    <x v="1"/>
    <x v="0"/>
    <x v="0"/>
    <x v="0"/>
  </r>
  <r>
    <n v="512"/>
    <x v="2"/>
    <x v="0"/>
    <x v="1"/>
    <x v="1"/>
    <s v="0df3ae9792cce9ed0f0c9b95be40b8ef"/>
    <d v="2018-02-26T00:00:00"/>
    <d v="2018-03-16T00:00:00"/>
    <x v="17"/>
    <d v="2018-03-02T00:00:00"/>
    <x v="0"/>
    <d v="2018-03-02T00:00:00"/>
    <x v="1"/>
    <x v="1"/>
    <x v="0"/>
    <s v="7d76b645482be4a332374e8223836592"/>
    <x v="0"/>
    <x v="0"/>
    <x v="3"/>
    <n v="17.899999999999999"/>
    <n v="11.85"/>
    <n v="29.75"/>
    <s v="Estimated 2018-03-16; handed to carrier 2018-03-02; no delivery recorded by end of 2018-03-18"/>
    <x v="1"/>
    <x v="0"/>
    <x v="0"/>
    <x v="0"/>
  </r>
  <r>
    <n v="513"/>
    <x v="2"/>
    <x v="0"/>
    <x v="1"/>
    <x v="1"/>
    <s v="8dcedca18bb1b1f7a5db3ebb636f372e"/>
    <d v="2018-02-26T00:00:00"/>
    <d v="2018-03-16T00:00:00"/>
    <x v="17"/>
    <d v="2018-03-04T00:00:00"/>
    <x v="0"/>
    <d v="2018-02-27T00:00:00"/>
    <x v="1"/>
    <x v="1"/>
    <x v="0"/>
    <s v="4869f7a5dfa277a7dca6462dcf3b52b2"/>
    <x v="0"/>
    <x v="0"/>
    <x v="3"/>
    <n v="240"/>
    <n v="13.18"/>
    <n v="253.18"/>
    <s v="Estimated 2018-03-16; handed to carrier 2018-02-27; no delivery recorded by end of 2018-03-18"/>
    <x v="1"/>
    <x v="0"/>
    <x v="0"/>
    <x v="0"/>
  </r>
  <r>
    <n v="514"/>
    <x v="2"/>
    <x v="0"/>
    <x v="1"/>
    <x v="1"/>
    <s v="17dd29c2a9196baed66fc07147b4d819"/>
    <d v="2018-02-26T00:00:00"/>
    <d v="2018-03-16T00:00:00"/>
    <x v="17"/>
    <d v="2018-03-05T00:00:00"/>
    <x v="0"/>
    <d v="2018-02-28T00:00:00"/>
    <x v="1"/>
    <x v="1"/>
    <x v="0"/>
    <s v="7ddcbb64b5bc1ef36ca8c151f6ec77df"/>
    <x v="0"/>
    <x v="0"/>
    <x v="1"/>
    <n v="176.99"/>
    <n v="23.56"/>
    <n v="200.55"/>
    <s v="Estimated 2018-03-16; handed to carrier 2018-02-28; no delivery recorded by end of 2018-03-18"/>
    <x v="1"/>
    <x v="0"/>
    <x v="0"/>
    <x v="0"/>
  </r>
  <r>
    <n v="515"/>
    <x v="2"/>
    <x v="0"/>
    <x v="1"/>
    <x v="1"/>
    <s v="9e4fa2c0dfc591cf67a209b057e1907a"/>
    <d v="2018-02-24T00:00:00"/>
    <d v="2018-03-16T00:00:00"/>
    <x v="17"/>
    <d v="2018-03-05T00:00:00"/>
    <x v="0"/>
    <d v="2018-02-28T00:00:00"/>
    <x v="1"/>
    <x v="1"/>
    <x v="0"/>
    <s v="4a3ca9315b744ce9f8e9374361493884"/>
    <x v="0"/>
    <x v="0"/>
    <x v="3"/>
    <n v="92"/>
    <n v="13.66"/>
    <n v="105.66"/>
    <s v="Estimated 2018-03-16; handed to carrier 2018-02-28; no delivery recorded by end of 2018-03-18"/>
    <x v="1"/>
    <x v="0"/>
    <x v="0"/>
    <x v="0"/>
  </r>
  <r>
    <n v="516"/>
    <x v="2"/>
    <x v="0"/>
    <x v="1"/>
    <x v="1"/>
    <s v="0a4bcba63e99001ad0349d8832963afe"/>
    <d v="2018-02-26T00:00:00"/>
    <d v="2018-03-16T00:00:00"/>
    <x v="17"/>
    <d v="2018-03-05T00:00:00"/>
    <x v="0"/>
    <d v="2018-03-02T00:00:00"/>
    <x v="1"/>
    <x v="1"/>
    <x v="0"/>
    <s v="6a8b085f816a1f75f92dbac6eb545f8f"/>
    <x v="0"/>
    <x v="0"/>
    <x v="3"/>
    <n v="79.900000000000006"/>
    <n v="12.06"/>
    <n v="91.96"/>
    <s v="Estimated 2018-03-16; handed to carrier 2018-03-02; no delivery recorded by end of 2018-03-18"/>
    <x v="1"/>
    <x v="0"/>
    <x v="0"/>
    <x v="0"/>
  </r>
  <r>
    <n v="517"/>
    <x v="2"/>
    <x v="0"/>
    <x v="1"/>
    <x v="1"/>
    <s v="c95e84ae7a7ece4f18736621998851f3"/>
    <d v="2018-02-24T00:00:00"/>
    <d v="2018-03-16T00:00:00"/>
    <x v="17"/>
    <d v="2018-03-05T00:00:00"/>
    <x v="0"/>
    <d v="2018-02-27T00:00:00"/>
    <x v="1"/>
    <x v="1"/>
    <x v="0"/>
    <s v="d3f39f05462b79a4562d35893a28f159"/>
    <x v="0"/>
    <x v="0"/>
    <x v="3"/>
    <n v="78"/>
    <n v="12.05"/>
    <n v="90.05"/>
    <s v="Estimated 2018-03-16; handed to carrier 2018-02-27; no delivery recorded by end of 2018-03-18"/>
    <x v="1"/>
    <x v="0"/>
    <x v="0"/>
    <x v="0"/>
  </r>
  <r>
    <n v="518"/>
    <x v="2"/>
    <x v="0"/>
    <x v="1"/>
    <x v="1"/>
    <s v="9f6fbfd6d1361fb26a26f6e26265589a"/>
    <d v="2018-02-26T00:00:00"/>
    <d v="2018-03-16T00:00:00"/>
    <x v="17"/>
    <d v="2018-03-05T00:00:00"/>
    <x v="0"/>
    <d v="2018-03-01T00:00:00"/>
    <x v="1"/>
    <x v="1"/>
    <x v="0"/>
    <s v="11bfa66332777660bd0640ee84d47006"/>
    <x v="0"/>
    <x v="0"/>
    <x v="3"/>
    <n v="40.99"/>
    <n v="11.85"/>
    <n v="52.84"/>
    <s v="Estimated 2018-03-16; handed to carrier 2018-03-01; no delivery recorded by end of 2018-03-18"/>
    <x v="1"/>
    <x v="0"/>
    <x v="0"/>
    <x v="0"/>
  </r>
  <r>
    <n v="519"/>
    <x v="2"/>
    <x v="0"/>
    <x v="1"/>
    <x v="1"/>
    <s v="56049934681bbcefb4f6707731ba95a8"/>
    <d v="2018-02-25T00:00:00"/>
    <d v="2018-03-16T00:00:00"/>
    <x v="17"/>
    <d v="2018-03-05T00:00:00"/>
    <x v="0"/>
    <d v="2018-03-01T00:00:00"/>
    <x v="1"/>
    <x v="1"/>
    <x v="0"/>
    <s v="2138ccb85b11a4ec1e37afbd1c8eda1f"/>
    <x v="0"/>
    <x v="0"/>
    <x v="1"/>
    <n v="34.99"/>
    <n v="14.1"/>
    <n v="49.09"/>
    <s v="Estimated 2018-03-16; handed to carrier 2018-03-01; no delivery recorded by end of 2018-03-18"/>
    <x v="1"/>
    <x v="0"/>
    <x v="0"/>
    <x v="0"/>
  </r>
  <r>
    <n v="520"/>
    <x v="2"/>
    <x v="0"/>
    <x v="1"/>
    <x v="1"/>
    <s v="85e82878a7121ee2d2018b2299b7915e"/>
    <d v="2018-02-26T00:00:00"/>
    <d v="2018-03-16T00:00:00"/>
    <x v="17"/>
    <d v="2018-03-05T00:00:00"/>
    <x v="0"/>
    <d v="2018-02-28T00:00:00"/>
    <x v="1"/>
    <x v="1"/>
    <x v="0"/>
    <s v="2c9e548be18521d1c43cde1c582c6de8"/>
    <x v="0"/>
    <x v="0"/>
    <x v="1"/>
    <n v="34.9"/>
    <n v="15.11"/>
    <n v="50.01"/>
    <s v="Estimated 2018-03-16; handed to carrier 2018-02-28; no delivery recorded by end of 2018-03-18"/>
    <x v="1"/>
    <x v="0"/>
    <x v="0"/>
    <x v="0"/>
  </r>
  <r>
    <n v="521"/>
    <x v="2"/>
    <x v="0"/>
    <x v="0"/>
    <x v="0"/>
    <s v="a6ddd2889891733e0af306332c71a3b8"/>
    <d v="2018-02-14T00:00:00"/>
    <d v="2018-03-16T00:00:00"/>
    <x v="17"/>
    <d v="2018-03-06T00:00:00"/>
    <x v="0"/>
    <m/>
    <x v="1"/>
    <x v="2"/>
    <x v="0"/>
    <s v="3092c0b297aacfb4bb6e056ebe13b9b8"/>
    <x v="0"/>
    <x v="0"/>
    <x v="3"/>
    <n v="89.8"/>
    <n v="23.46"/>
    <n v="113.26"/>
    <s v="Estimated 2018-03-16; approved 2018-02-14; ship-by 2018-03-06; not handed to carrier by end of 2018-03-18"/>
    <x v="0"/>
    <x v="0"/>
    <x v="0"/>
    <x v="0"/>
  </r>
  <r>
    <n v="522"/>
    <x v="2"/>
    <x v="0"/>
    <x v="1"/>
    <x v="1"/>
    <s v="0bda83aa61608436c3403ca200bf12d5"/>
    <d v="2018-02-26T00:00:00"/>
    <d v="2018-03-16T00:00:00"/>
    <x v="17"/>
    <d v="2018-03-06T00:00:00"/>
    <x v="0"/>
    <d v="2018-03-01T00:00:00"/>
    <x v="1"/>
    <x v="1"/>
    <x v="0"/>
    <s v="4a3ca9315b744ce9f8e9374361493884"/>
    <x v="0"/>
    <x v="0"/>
    <x v="3"/>
    <n v="86.9"/>
    <n v="16.239999999999998"/>
    <n v="103.14"/>
    <s v="Estimated 2018-03-16; handed to carrier 2018-03-01; no delivery recorded by end of 2018-03-18"/>
    <x v="1"/>
    <x v="0"/>
    <x v="0"/>
    <x v="0"/>
  </r>
  <r>
    <n v="523"/>
    <x v="2"/>
    <x v="0"/>
    <x v="1"/>
    <x v="1"/>
    <s v="6bc3c767bc73e1e4e1ba0670c3d90397"/>
    <d v="2018-02-26T00:00:00"/>
    <d v="2018-03-16T00:00:00"/>
    <x v="17"/>
    <d v="2018-03-06T00:00:00"/>
    <x v="0"/>
    <d v="2018-02-28T00:00:00"/>
    <x v="1"/>
    <x v="1"/>
    <x v="0"/>
    <s v="3a1a1fec38dd360f15fc912e821e169d"/>
    <x v="0"/>
    <x v="0"/>
    <x v="3"/>
    <n v="83.41"/>
    <n v="13.6"/>
    <n v="97.01"/>
    <s v="Estimated 2018-03-16; handed to carrier 2018-02-28; no delivery recorded by end of 2018-03-18"/>
    <x v="1"/>
    <x v="0"/>
    <x v="0"/>
    <x v="0"/>
  </r>
  <r>
    <n v="524"/>
    <x v="2"/>
    <x v="0"/>
    <x v="1"/>
    <x v="1"/>
    <s v="d34bae2145edd5228bf4d92832988284"/>
    <d v="2018-02-26T00:00:00"/>
    <d v="2018-03-16T00:00:00"/>
    <x v="17"/>
    <d v="2018-03-06T00:00:00"/>
    <x v="0"/>
    <d v="2018-03-01T00:00:00"/>
    <x v="1"/>
    <x v="1"/>
    <x v="0"/>
    <s v="4a3ca9315b744ce9f8e9374361493884"/>
    <x v="0"/>
    <x v="0"/>
    <x v="3"/>
    <n v="48.9"/>
    <n v="12.69"/>
    <n v="61.59"/>
    <s v="Estimated 2018-03-16; handed to carrier 2018-03-01; no delivery recorded by end of 2018-03-18"/>
    <x v="1"/>
    <x v="0"/>
    <x v="0"/>
    <x v="0"/>
  </r>
  <r>
    <n v="525"/>
    <x v="2"/>
    <x v="0"/>
    <x v="1"/>
    <x v="1"/>
    <s v="891331814ee1cbcb8f77a53b2b136099"/>
    <d v="2018-02-26T00:00:00"/>
    <d v="2018-03-16T00:00:00"/>
    <x v="17"/>
    <d v="2018-03-06T00:00:00"/>
    <x v="0"/>
    <d v="2018-03-05T00:00:00"/>
    <x v="1"/>
    <x v="1"/>
    <x v="0"/>
    <s v="4c2b230173bb36f9b240f2b8ac11786e"/>
    <x v="0"/>
    <x v="0"/>
    <x v="1"/>
    <n v="45.9"/>
    <n v="14.1"/>
    <n v="60"/>
    <s v="Estimated 2018-03-16; handed to carrier 2018-03-05; no delivery recorded by end of 2018-03-18"/>
    <x v="1"/>
    <x v="0"/>
    <x v="0"/>
    <x v="0"/>
  </r>
  <r>
    <n v="526"/>
    <x v="2"/>
    <x v="0"/>
    <x v="1"/>
    <x v="1"/>
    <s v="e11e49042dd9e24863991a081fd4bf19"/>
    <d v="2018-03-06T00:00:00"/>
    <d v="2018-03-16T00:00:00"/>
    <x v="17"/>
    <d v="2018-03-12T00:00:00"/>
    <x v="0"/>
    <d v="2018-03-10T00:00:00"/>
    <x v="1"/>
    <x v="1"/>
    <x v="0"/>
    <s v="e5a3438891c0bfdb9394643f95273d8e"/>
    <x v="0"/>
    <x v="0"/>
    <x v="3"/>
    <n v="27.3"/>
    <n v="8.76"/>
    <n v="36.06"/>
    <s v="Estimated 2018-03-16; handed to carrier 2018-03-10; no delivery recorded by end of 2018-03-18"/>
    <x v="1"/>
    <x v="0"/>
    <x v="0"/>
    <x v="0"/>
  </r>
  <r>
    <n v="527"/>
    <x v="2"/>
    <x v="0"/>
    <x v="1"/>
    <x v="1"/>
    <s v="251777a5426d33b7fd9f124cd2d18972"/>
    <d v="2018-03-06T00:00:00"/>
    <d v="2018-03-16T00:00:00"/>
    <x v="17"/>
    <d v="2018-03-13T00:00:00"/>
    <x v="0"/>
    <d v="2018-03-09T00:00:00"/>
    <x v="1"/>
    <x v="1"/>
    <x v="0"/>
    <s v="a416b6a846a11724393025641d4edd5e"/>
    <x v="0"/>
    <x v="0"/>
    <x v="3"/>
    <n v="123.88"/>
    <n v="13.01"/>
    <n v="136.88999999999999"/>
    <s v="Estimated 2018-03-16; handed to carrier 2018-03-09; no delivery recorded by end of 2018-03-18"/>
    <x v="1"/>
    <x v="0"/>
    <x v="0"/>
    <x v="0"/>
  </r>
  <r>
    <n v="528"/>
    <x v="2"/>
    <x v="0"/>
    <x v="0"/>
    <x v="0"/>
    <s v="20085191cbcabee83a2016eb4a9fbf21"/>
    <d v="2018-02-26T00:00:00"/>
    <d v="2018-03-16T00:00:00"/>
    <x v="17"/>
    <m/>
    <x v="0"/>
    <m/>
    <x v="1"/>
    <x v="3"/>
    <x v="1"/>
    <s v=""/>
    <x v="1"/>
    <x v="2"/>
    <x v="3"/>
    <n v="0"/>
    <n v="0"/>
    <n v="103.5"/>
    <s v=""/>
    <x v="0"/>
    <x v="0"/>
    <x v="0"/>
    <x v="0"/>
  </r>
  <r>
    <n v="529"/>
    <x v="2"/>
    <x v="0"/>
    <x v="0"/>
    <x v="0"/>
    <s v="b91dd40b68675f4dc29339562895ca26"/>
    <d v="2018-02-24T00:00:00"/>
    <d v="2018-03-16T00:00:00"/>
    <x v="17"/>
    <m/>
    <x v="0"/>
    <m/>
    <x v="1"/>
    <x v="3"/>
    <x v="1"/>
    <s v=""/>
    <x v="1"/>
    <x v="2"/>
    <x v="1"/>
    <n v="0"/>
    <n v="0"/>
    <n v="42.9"/>
    <s v=""/>
    <x v="0"/>
    <x v="0"/>
    <x v="0"/>
    <x v="0"/>
  </r>
  <r>
    <n v="530"/>
    <x v="3"/>
    <x v="1"/>
    <x v="3"/>
    <x v="3"/>
    <s v="a7d6efcf25cbcbce23dbef446eb827d6"/>
    <d v="2018-02-17T00:00:00"/>
    <d v="2018-03-19T00:00:00"/>
    <x v="18"/>
    <d v="2018-02-26T00:00:00"/>
    <x v="0"/>
    <m/>
    <x v="0"/>
    <x v="1"/>
    <x v="0"/>
    <s v="71271995e85f5b8530be99ed54a91b89"/>
    <x v="0"/>
    <x v="8"/>
    <x v="10"/>
    <n v="97"/>
    <n v="16.440000000000001"/>
    <n v="113.44"/>
    <s v="Ship-by 2018-02-26 (21 day(s) ago); not handed to carrier; estimated delivery 2018-03-19"/>
    <x v="3"/>
    <x v="0"/>
    <x v="0"/>
    <x v="0"/>
  </r>
  <r>
    <n v="531"/>
    <x v="3"/>
    <x v="1"/>
    <x v="3"/>
    <x v="3"/>
    <s v="964bc1b427d6a485b515efcab9985e68"/>
    <d v="2018-02-25T00:00:00"/>
    <d v="2018-03-19T00:00:00"/>
    <x v="18"/>
    <d v="2018-03-01T00:00:00"/>
    <x v="0"/>
    <m/>
    <x v="0"/>
    <x v="1"/>
    <x v="0"/>
    <s v="88460e8ebdecbfecb5f9601833981930"/>
    <x v="0"/>
    <x v="3"/>
    <x v="8"/>
    <n v="149.9"/>
    <n v="15.8"/>
    <n v="165.7"/>
    <s v="Ship-by 2018-03-01 (18 day(s) ago); not handed to carrier; estimated delivery 2018-03-19"/>
    <x v="3"/>
    <x v="0"/>
    <x v="0"/>
    <x v="0"/>
  </r>
  <r>
    <n v="532"/>
    <x v="3"/>
    <x v="1"/>
    <x v="3"/>
    <x v="3"/>
    <s v="c08dd05931abd8cb08aad3d31e39bfed"/>
    <d v="2018-02-22T00:00:00"/>
    <d v="2018-03-21T00:00:00"/>
    <x v="18"/>
    <d v="2018-03-02T00:00:00"/>
    <x v="0"/>
    <m/>
    <x v="0"/>
    <x v="1"/>
    <x v="0"/>
    <s v="cfa5ab0e4d3fc212fd0b3410e7081c62"/>
    <x v="0"/>
    <x v="1"/>
    <x v="1"/>
    <n v="1399.99"/>
    <n v="23.53"/>
    <n v="1423.52"/>
    <s v="Ship-by 2018-03-02 (17 day(s) ago); not handed to carrier; estimated delivery 2018-03-21"/>
    <x v="3"/>
    <x v="0"/>
    <x v="0"/>
    <x v="0"/>
  </r>
  <r>
    <n v="533"/>
    <x v="3"/>
    <x v="1"/>
    <x v="3"/>
    <x v="3"/>
    <s v="99bc267f49d76932cd195bfb2a94dd03"/>
    <d v="2018-02-26T00:00:00"/>
    <d v="2018-03-20T00:00:00"/>
    <x v="18"/>
    <d v="2018-03-02T00:00:00"/>
    <x v="0"/>
    <m/>
    <x v="0"/>
    <x v="1"/>
    <x v="0"/>
    <s v="88460e8ebdecbfecb5f9601833981930"/>
    <x v="0"/>
    <x v="3"/>
    <x v="3"/>
    <n v="149.9"/>
    <n v="13.18"/>
    <n v="163.08000000000001"/>
    <s v="Ship-by 2018-03-02 (17 day(s) ago); not handed to carrier; estimated delivery 2018-03-20"/>
    <x v="3"/>
    <x v="0"/>
    <x v="0"/>
    <x v="0"/>
  </r>
  <r>
    <n v="534"/>
    <x v="3"/>
    <x v="1"/>
    <x v="3"/>
    <x v="3"/>
    <s v="bbc914b2842d3c32f438b913b31f0ff8"/>
    <d v="2018-02-27T00:00:00"/>
    <d v="2018-03-26T00:00:00"/>
    <x v="18"/>
    <d v="2018-03-05T00:00:00"/>
    <x v="0"/>
    <m/>
    <x v="0"/>
    <x v="1"/>
    <x v="0"/>
    <s v="88460e8ebdecbfecb5f9601833981930"/>
    <x v="0"/>
    <x v="3"/>
    <x v="2"/>
    <n v="149.9"/>
    <n v="17.489999999999998"/>
    <n v="167.39"/>
    <s v="Ship-by 2018-03-05 (14 day(s) ago); not handed to carrier; estimated delivery 2018-03-26"/>
    <x v="3"/>
    <x v="0"/>
    <x v="0"/>
    <x v="0"/>
  </r>
  <r>
    <n v="535"/>
    <x v="3"/>
    <x v="1"/>
    <x v="3"/>
    <x v="3"/>
    <s v="491208d141876b40c6381fa49e8dff6a"/>
    <d v="2018-02-27T00:00:00"/>
    <d v="2018-03-21T00:00:00"/>
    <x v="18"/>
    <d v="2018-03-05T00:00:00"/>
    <x v="0"/>
    <m/>
    <x v="0"/>
    <x v="1"/>
    <x v="0"/>
    <s v="a49928bcdf77c55c6d6e05e09a9b4ca5"/>
    <x v="0"/>
    <x v="0"/>
    <x v="9"/>
    <n v="89.9"/>
    <n v="16.88"/>
    <n v="106.78"/>
    <s v="Ship-by 2018-03-05 (14 day(s) ago); not handed to carrier; estimated delivery 2018-03-21"/>
    <x v="3"/>
    <x v="0"/>
    <x v="0"/>
    <x v="0"/>
  </r>
  <r>
    <n v="536"/>
    <x v="3"/>
    <x v="1"/>
    <x v="3"/>
    <x v="3"/>
    <s v="edafb5849135e41d30dcb51fbaa78014"/>
    <d v="2018-02-27T00:00:00"/>
    <d v="2018-03-20T00:00:00"/>
    <x v="18"/>
    <d v="2018-03-05T00:00:00"/>
    <x v="0"/>
    <m/>
    <x v="0"/>
    <x v="1"/>
    <x v="0"/>
    <s v="1900267e848ceeba8fa32d80c1a5f5a8"/>
    <x v="0"/>
    <x v="0"/>
    <x v="1"/>
    <n v="54.99"/>
    <n v="16.14"/>
    <n v="71.13"/>
    <s v="Ship-by 2018-03-05 (14 day(s) ago); not handed to carrier; estimated delivery 2018-03-20"/>
    <x v="3"/>
    <x v="0"/>
    <x v="0"/>
    <x v="0"/>
  </r>
  <r>
    <n v="537"/>
    <x v="3"/>
    <x v="1"/>
    <x v="3"/>
    <x v="3"/>
    <s v="afd980edb690e47249915c1a1735e922"/>
    <d v="2018-02-24T00:00:00"/>
    <d v="2018-03-22T00:00:00"/>
    <x v="18"/>
    <d v="2018-03-06T00:00:00"/>
    <x v="0"/>
    <m/>
    <x v="0"/>
    <x v="1"/>
    <x v="0"/>
    <s v="e8b3a3a38279a82f0e5d006d5e5b7d2c"/>
    <x v="0"/>
    <x v="3"/>
    <x v="10"/>
    <n v="214.9"/>
    <n v="14.52"/>
    <n v="229.42"/>
    <s v="Ship-by 2018-03-06 (13 day(s) ago); not handed to carrier; estimated delivery 2018-03-22"/>
    <x v="3"/>
    <x v="0"/>
    <x v="0"/>
    <x v="0"/>
  </r>
  <r>
    <n v="538"/>
    <x v="3"/>
    <x v="1"/>
    <x v="3"/>
    <x v="3"/>
    <s v="1439b7c45e6b3497e1d86582382ec326"/>
    <d v="2018-02-27T00:00:00"/>
    <d v="2018-03-26T00:00:00"/>
    <x v="18"/>
    <d v="2018-03-06T00:00:00"/>
    <x v="0"/>
    <m/>
    <x v="0"/>
    <x v="1"/>
    <x v="0"/>
    <s v="88460e8ebdecbfecb5f9601833981930"/>
    <x v="0"/>
    <x v="3"/>
    <x v="3"/>
    <n v="149.9"/>
    <n v="15.8"/>
    <n v="165.7"/>
    <s v="Ship-by 2018-03-06 (13 day(s) ago); not handed to carrier; estimated delivery 2018-03-26"/>
    <x v="3"/>
    <x v="0"/>
    <x v="0"/>
    <x v="0"/>
  </r>
  <r>
    <n v="539"/>
    <x v="3"/>
    <x v="1"/>
    <x v="3"/>
    <x v="3"/>
    <s v="fe0105a4696c7d31837cb3130fe9c4b1"/>
    <d v="2018-02-28T00:00:00"/>
    <d v="2018-03-19T00:00:00"/>
    <x v="18"/>
    <d v="2018-03-06T00:00:00"/>
    <x v="0"/>
    <m/>
    <x v="0"/>
    <x v="1"/>
    <x v="0"/>
    <s v="a49928bcdf77c55c6d6e05e09a9b4ca5"/>
    <x v="0"/>
    <x v="0"/>
    <x v="3"/>
    <n v="89.9"/>
    <n v="13.65"/>
    <n v="103.55"/>
    <s v="Ship-by 2018-03-06 (13 day(s) ago); not handed to carrier; estimated delivery 2018-03-19"/>
    <x v="3"/>
    <x v="0"/>
    <x v="0"/>
    <x v="0"/>
  </r>
  <r>
    <n v="540"/>
    <x v="3"/>
    <x v="1"/>
    <x v="3"/>
    <x v="3"/>
    <s v="be5d667e97f0b3bd94debc7b946aecd7"/>
    <d v="2018-02-26T00:00:00"/>
    <d v="2018-03-19T00:00:00"/>
    <x v="18"/>
    <d v="2018-03-06T00:00:00"/>
    <x v="0"/>
    <m/>
    <x v="0"/>
    <x v="1"/>
    <x v="0"/>
    <s v="95f83f51203c626648c875dd41874c7f"/>
    <x v="0"/>
    <x v="1"/>
    <x v="2"/>
    <n v="69.900000000000006"/>
    <n v="26.11"/>
    <n v="96.01"/>
    <s v="Ship-by 2018-03-06 (13 day(s) ago); not handed to carrier; estimated delivery 2018-03-19"/>
    <x v="3"/>
    <x v="0"/>
    <x v="0"/>
    <x v="0"/>
  </r>
  <r>
    <n v="541"/>
    <x v="3"/>
    <x v="1"/>
    <x v="3"/>
    <x v="3"/>
    <s v="3f191c1edeb80678998ec0c8683cefcc"/>
    <d v="2018-02-20T00:00:00"/>
    <d v="2018-03-21T00:00:00"/>
    <x v="18"/>
    <d v="2018-03-06T00:00:00"/>
    <x v="0"/>
    <m/>
    <x v="0"/>
    <x v="1"/>
    <x v="0"/>
    <s v="85d9eb9ddc5d00ca9336a2219c97bb13"/>
    <x v="0"/>
    <x v="1"/>
    <x v="3"/>
    <n v="31.9"/>
    <n v="14.1"/>
    <n v="46"/>
    <s v="Ship-by 2018-03-06 (13 day(s) ago); not handed to carrier; estimated delivery 2018-03-21"/>
    <x v="3"/>
    <x v="0"/>
    <x v="0"/>
    <x v="0"/>
  </r>
  <r>
    <n v="542"/>
    <x v="3"/>
    <x v="1"/>
    <x v="3"/>
    <x v="3"/>
    <s v="69796e4e03edbf9c0f49c76d4ebadb77"/>
    <d v="2018-03-02T00:00:00"/>
    <d v="2018-03-29T00:00:00"/>
    <x v="18"/>
    <d v="2018-03-07T00:00:00"/>
    <x v="0"/>
    <m/>
    <x v="0"/>
    <x v="1"/>
    <x v="0"/>
    <s v="88460e8ebdecbfecb5f9601833981930"/>
    <x v="0"/>
    <x v="3"/>
    <x v="2"/>
    <n v="76.25"/>
    <n v="16.97"/>
    <n v="93.22"/>
    <s v="Ship-by 2018-03-07 (12 day(s) ago); not handed to carrier; estimated delivery 2018-03-29"/>
    <x v="3"/>
    <x v="0"/>
    <x v="0"/>
    <x v="0"/>
  </r>
  <r>
    <n v="543"/>
    <x v="3"/>
    <x v="1"/>
    <x v="3"/>
    <x v="3"/>
    <s v="d8f135a040950408cd059c27a623bd97"/>
    <d v="2018-03-03T00:00:00"/>
    <d v="2018-03-21T00:00:00"/>
    <x v="18"/>
    <d v="2018-03-08T00:00:00"/>
    <x v="0"/>
    <m/>
    <x v="0"/>
    <x v="1"/>
    <x v="0"/>
    <s v="b2ba3715d723d245138f291a6fe42594"/>
    <x v="0"/>
    <x v="0"/>
    <x v="3"/>
    <n v="163.9"/>
    <n v="13.49"/>
    <n v="177.39"/>
    <s v="Ship-by 2018-03-08 (11 day(s) ago); not handed to carrier; estimated delivery 2018-03-21"/>
    <x v="3"/>
    <x v="0"/>
    <x v="0"/>
    <x v="0"/>
  </r>
  <r>
    <n v="544"/>
    <x v="3"/>
    <x v="1"/>
    <x v="3"/>
    <x v="3"/>
    <s v="3a3239fa60ea2f77a53990f66c3f1a45"/>
    <d v="2018-03-02T00:00:00"/>
    <d v="2018-04-11T00:00:00"/>
    <x v="18"/>
    <d v="2018-03-08T00:00:00"/>
    <x v="0"/>
    <m/>
    <x v="0"/>
    <x v="2"/>
    <x v="0"/>
    <s v="88460e8ebdecbfecb5f9601833981930"/>
    <x v="0"/>
    <x v="3"/>
    <x v="1"/>
    <n v="152.5"/>
    <n v="33.94"/>
    <n v="186.44"/>
    <s v="Ship-by 2018-03-08 (11 day(s) ago); not handed to carrier; estimated delivery 2018-04-11"/>
    <x v="3"/>
    <x v="0"/>
    <x v="0"/>
    <x v="0"/>
  </r>
  <r>
    <n v="545"/>
    <x v="3"/>
    <x v="1"/>
    <x v="3"/>
    <x v="3"/>
    <s v="f99f27c6436299deb7afb301de293eba"/>
    <d v="2018-03-02T00:00:00"/>
    <d v="2018-03-29T00:00:00"/>
    <x v="18"/>
    <d v="2018-03-08T00:00:00"/>
    <x v="0"/>
    <m/>
    <x v="0"/>
    <x v="2"/>
    <x v="0"/>
    <s v="88460e8ebdecbfecb5f9601833981930"/>
    <x v="0"/>
    <x v="3"/>
    <x v="2"/>
    <n v="152.5"/>
    <n v="33.94"/>
    <n v="186.44"/>
    <s v="Ship-by 2018-03-08 (11 day(s) ago); not handed to carrier; estimated delivery 2018-03-29"/>
    <x v="3"/>
    <x v="0"/>
    <x v="0"/>
    <x v="0"/>
  </r>
  <r>
    <n v="546"/>
    <x v="3"/>
    <x v="1"/>
    <x v="3"/>
    <x v="3"/>
    <s v="70809734fe201ea6db6d4577b84a3022"/>
    <d v="2018-03-04T00:00:00"/>
    <d v="2018-03-29T00:00:00"/>
    <x v="18"/>
    <d v="2018-03-08T00:00:00"/>
    <x v="0"/>
    <m/>
    <x v="0"/>
    <x v="1"/>
    <x v="0"/>
    <s v="88460e8ebdecbfecb5f9601833981930"/>
    <x v="0"/>
    <x v="3"/>
    <x v="3"/>
    <n v="149.9"/>
    <n v="13.18"/>
    <n v="163.08000000000001"/>
    <s v="Ship-by 2018-03-08 (11 day(s) ago); not handed to carrier; estimated delivery 2018-03-29"/>
    <x v="3"/>
    <x v="0"/>
    <x v="0"/>
    <x v="0"/>
  </r>
  <r>
    <n v="547"/>
    <x v="3"/>
    <x v="1"/>
    <x v="3"/>
    <x v="3"/>
    <s v="a7b9ca3e1958817f0415ebbf1fef3941"/>
    <d v="2018-03-03T00:00:00"/>
    <d v="2018-03-28T00:00:00"/>
    <x v="18"/>
    <d v="2018-03-08T00:00:00"/>
    <x v="0"/>
    <m/>
    <x v="0"/>
    <x v="1"/>
    <x v="0"/>
    <s v="88460e8ebdecbfecb5f9601833981930"/>
    <x v="0"/>
    <x v="3"/>
    <x v="1"/>
    <n v="149.9"/>
    <n v="17.489999999999998"/>
    <n v="167.39"/>
    <s v="Ship-by 2018-03-08 (11 day(s) ago); not handed to carrier; estimated delivery 2018-03-28"/>
    <x v="3"/>
    <x v="0"/>
    <x v="0"/>
    <x v="0"/>
  </r>
  <r>
    <n v="548"/>
    <x v="3"/>
    <x v="1"/>
    <x v="3"/>
    <x v="3"/>
    <s v="5545be5d02a0d70d1e9b038bf1a5acd7"/>
    <d v="2018-03-04T00:00:00"/>
    <d v="2018-03-29T00:00:00"/>
    <x v="18"/>
    <d v="2018-03-08T00:00:00"/>
    <x v="0"/>
    <m/>
    <x v="0"/>
    <x v="1"/>
    <x v="0"/>
    <s v="f27e33c6d29b5138fa9967bcd445b6d5"/>
    <x v="0"/>
    <x v="0"/>
    <x v="10"/>
    <n v="109.9"/>
    <n v="17.02"/>
    <n v="126.92"/>
    <s v="Ship-by 2018-03-08 (11 day(s) ago); not handed to carrier; estimated delivery 2018-03-29"/>
    <x v="3"/>
    <x v="0"/>
    <x v="0"/>
    <x v="0"/>
  </r>
  <r>
    <n v="549"/>
    <x v="3"/>
    <x v="1"/>
    <x v="3"/>
    <x v="3"/>
    <s v="56f251ca89f74d06076966d5d49b9dc6"/>
    <d v="2018-03-01T00:00:00"/>
    <d v="2018-03-23T00:00:00"/>
    <x v="18"/>
    <d v="2018-03-08T00:00:00"/>
    <x v="0"/>
    <m/>
    <x v="0"/>
    <x v="1"/>
    <x v="0"/>
    <s v="cc419e0650a3c5ba77189a1882b7556a"/>
    <x v="0"/>
    <x v="0"/>
    <x v="2"/>
    <n v="94.99"/>
    <n v="15.41"/>
    <n v="110.4"/>
    <s v="Ship-by 2018-03-08 (11 day(s) ago); not handed to carrier; estimated delivery 2018-03-23"/>
    <x v="3"/>
    <x v="0"/>
    <x v="0"/>
    <x v="0"/>
  </r>
  <r>
    <n v="550"/>
    <x v="3"/>
    <x v="1"/>
    <x v="3"/>
    <x v="3"/>
    <s v="f5f8998eee8ec7bc513dc52847d64ce0"/>
    <d v="2018-03-01T00:00:00"/>
    <d v="2018-03-20T00:00:00"/>
    <x v="18"/>
    <d v="2018-03-08T00:00:00"/>
    <x v="0"/>
    <m/>
    <x v="0"/>
    <x v="1"/>
    <x v="0"/>
    <s v="f09e26011d833ddab11593c1a097a92a"/>
    <x v="0"/>
    <x v="0"/>
    <x v="3"/>
    <n v="79.900000000000006"/>
    <n v="22.19"/>
    <n v="102.09"/>
    <s v="Ship-by 2018-03-08 (11 day(s) ago); not handed to carrier; estimated delivery 2018-03-20"/>
    <x v="3"/>
    <x v="0"/>
    <x v="0"/>
    <x v="0"/>
  </r>
  <r>
    <n v="551"/>
    <x v="3"/>
    <x v="1"/>
    <x v="3"/>
    <x v="3"/>
    <s v="248065388c27d5287020c4ff60183298"/>
    <d v="2018-03-02T00:00:00"/>
    <d v="2018-03-28T00:00:00"/>
    <x v="18"/>
    <d v="2018-03-08T00:00:00"/>
    <x v="0"/>
    <m/>
    <x v="0"/>
    <x v="1"/>
    <x v="0"/>
    <s v="88460e8ebdecbfecb5f9601833981930"/>
    <x v="0"/>
    <x v="3"/>
    <x v="3"/>
    <n v="76.25"/>
    <n v="12.66"/>
    <n v="88.91"/>
    <s v="Ship-by 2018-03-08 (11 day(s) ago); not handed to carrier; estimated delivery 2018-03-28"/>
    <x v="3"/>
    <x v="0"/>
    <x v="0"/>
    <x v="0"/>
  </r>
  <r>
    <n v="552"/>
    <x v="3"/>
    <x v="1"/>
    <x v="3"/>
    <x v="3"/>
    <s v="51f06300798e14c37af5f5ea107db194"/>
    <d v="2018-03-03T00:00:00"/>
    <d v="2018-03-27T00:00:00"/>
    <x v="18"/>
    <d v="2018-03-08T00:00:00"/>
    <x v="0"/>
    <m/>
    <x v="0"/>
    <x v="1"/>
    <x v="0"/>
    <s v="88460e8ebdecbfecb5f9601833981930"/>
    <x v="0"/>
    <x v="3"/>
    <x v="3"/>
    <n v="76.25"/>
    <n v="12.66"/>
    <n v="88.91"/>
    <s v="Ship-by 2018-03-08 (11 day(s) ago); not handed to carrier; estimated delivery 2018-03-27"/>
    <x v="3"/>
    <x v="0"/>
    <x v="0"/>
    <x v="0"/>
  </r>
  <r>
    <n v="553"/>
    <x v="3"/>
    <x v="1"/>
    <x v="3"/>
    <x v="3"/>
    <s v="531abf2d5cc78f7a49d9ba560cbbfe7a"/>
    <d v="2018-03-02T00:00:00"/>
    <d v="2018-03-26T00:00:00"/>
    <x v="18"/>
    <d v="2018-03-08T00:00:00"/>
    <x v="0"/>
    <m/>
    <x v="0"/>
    <x v="1"/>
    <x v="0"/>
    <s v="88460e8ebdecbfecb5f9601833981930"/>
    <x v="0"/>
    <x v="3"/>
    <x v="3"/>
    <n v="76.25"/>
    <n v="12.66"/>
    <n v="88.91"/>
    <s v="Ship-by 2018-03-08 (11 day(s) ago); not handed to carrier; estimated delivery 2018-03-26"/>
    <x v="3"/>
    <x v="0"/>
    <x v="0"/>
    <x v="0"/>
  </r>
  <r>
    <n v="554"/>
    <x v="3"/>
    <x v="1"/>
    <x v="3"/>
    <x v="3"/>
    <s v="c893d855b41d9ebc443d3addef1755b0"/>
    <d v="2018-03-02T00:00:00"/>
    <d v="2018-03-28T00:00:00"/>
    <x v="18"/>
    <d v="2018-03-08T00:00:00"/>
    <x v="0"/>
    <m/>
    <x v="0"/>
    <x v="1"/>
    <x v="0"/>
    <s v="88460e8ebdecbfecb5f9601833981930"/>
    <x v="0"/>
    <x v="3"/>
    <x v="2"/>
    <n v="76.25"/>
    <n v="16.97"/>
    <n v="93.22"/>
    <s v="Ship-by 2018-03-08 (11 day(s) ago); not handed to carrier; estimated delivery 2018-03-28"/>
    <x v="3"/>
    <x v="0"/>
    <x v="0"/>
    <x v="0"/>
  </r>
  <r>
    <n v="555"/>
    <x v="3"/>
    <x v="1"/>
    <x v="3"/>
    <x v="3"/>
    <s v="ec2315063d220f8b9a807f21b35c2928"/>
    <d v="2018-03-01T00:00:00"/>
    <d v="2018-04-02T00:00:00"/>
    <x v="18"/>
    <d v="2018-03-08T00:00:00"/>
    <x v="0"/>
    <m/>
    <x v="0"/>
    <x v="1"/>
    <x v="0"/>
    <s v="88460e8ebdecbfecb5f9601833981930"/>
    <x v="0"/>
    <x v="3"/>
    <x v="0"/>
    <n v="76.25"/>
    <n v="42.56"/>
    <n v="118.81"/>
    <s v="Ship-by 2018-03-08 (11 day(s) ago); not handed to carrier; estimated delivery 2018-04-02"/>
    <x v="3"/>
    <x v="0"/>
    <x v="0"/>
    <x v="0"/>
  </r>
  <r>
    <n v="556"/>
    <x v="3"/>
    <x v="1"/>
    <x v="3"/>
    <x v="3"/>
    <s v="4d15efdb77cf36c0c997ee21b8af3abf"/>
    <d v="2018-03-02T00:00:00"/>
    <d v="2018-04-09T00:00:00"/>
    <x v="18"/>
    <d v="2018-03-08T00:00:00"/>
    <x v="0"/>
    <m/>
    <x v="0"/>
    <x v="2"/>
    <x v="0"/>
    <s v="8ab42aa58097fd4668d60cc648225d5f"/>
    <x v="0"/>
    <x v="10"/>
    <x v="1"/>
    <n v="44"/>
    <n v="35.26"/>
    <n v="79.260000000000005"/>
    <s v="Ship-by 2018-03-08 (11 day(s) ago); not handed to carrier; estimated delivery 2018-04-09"/>
    <x v="3"/>
    <x v="0"/>
    <x v="0"/>
    <x v="0"/>
  </r>
  <r>
    <n v="557"/>
    <x v="3"/>
    <x v="1"/>
    <x v="3"/>
    <x v="3"/>
    <s v="dddd54d8113f120fbbbbe593502a2d47"/>
    <d v="2018-03-02T00:00:00"/>
    <d v="2018-03-23T00:00:00"/>
    <x v="18"/>
    <d v="2018-03-08T00:00:00"/>
    <x v="0"/>
    <m/>
    <x v="0"/>
    <x v="1"/>
    <x v="0"/>
    <s v="432c37c9dfba871172ec162e20118b8c"/>
    <x v="0"/>
    <x v="7"/>
    <x v="8"/>
    <n v="25"/>
    <n v="25.63"/>
    <n v="50.63"/>
    <s v="Ship-by 2018-03-08 (11 day(s) ago); not handed to carrier; estimated delivery 2018-03-23"/>
    <x v="3"/>
    <x v="0"/>
    <x v="0"/>
    <x v="0"/>
  </r>
  <r>
    <n v="558"/>
    <x v="3"/>
    <x v="1"/>
    <x v="3"/>
    <x v="3"/>
    <s v="682d2a1eb8b2676fc3337cf90c96ca8b"/>
    <d v="2018-03-05T00:00:00"/>
    <d v="2018-03-21T00:00:00"/>
    <x v="18"/>
    <d v="2018-03-09T00:00:00"/>
    <x v="0"/>
    <m/>
    <x v="0"/>
    <x v="1"/>
    <x v="0"/>
    <s v="955fee9216a65b617aa5c0531780ce60"/>
    <x v="0"/>
    <x v="0"/>
    <x v="3"/>
    <n v="200"/>
    <n v="13.74"/>
    <n v="213.74"/>
    <s v="Ship-by 2018-03-09 (10 day(s) ago); not handed to carrier; estimated delivery 2018-03-21"/>
    <x v="3"/>
    <x v="0"/>
    <x v="0"/>
    <x v="0"/>
  </r>
  <r>
    <n v="559"/>
    <x v="3"/>
    <x v="1"/>
    <x v="3"/>
    <x v="3"/>
    <s v="08d61eb463e165c095e7de595a773d90"/>
    <d v="2018-03-05T00:00:00"/>
    <d v="2018-03-29T00:00:00"/>
    <x v="18"/>
    <d v="2018-03-09T00:00:00"/>
    <x v="0"/>
    <m/>
    <x v="0"/>
    <x v="1"/>
    <x v="0"/>
    <s v="88460e8ebdecbfecb5f9601833981930"/>
    <x v="0"/>
    <x v="3"/>
    <x v="3"/>
    <n v="149.9"/>
    <n v="14.17"/>
    <n v="164.07"/>
    <s v="Ship-by 2018-03-09 (10 day(s) ago); not handed to carrier; estimated delivery 2018-03-29"/>
    <x v="3"/>
    <x v="0"/>
    <x v="0"/>
    <x v="0"/>
  </r>
  <r>
    <n v="560"/>
    <x v="3"/>
    <x v="1"/>
    <x v="3"/>
    <x v="3"/>
    <s v="6c2df403c867a6aa913b387d92999d43"/>
    <d v="2018-03-05T00:00:00"/>
    <d v="2018-03-27T00:00:00"/>
    <x v="18"/>
    <d v="2018-03-09T00:00:00"/>
    <x v="0"/>
    <m/>
    <x v="0"/>
    <x v="1"/>
    <x v="0"/>
    <s v="88460e8ebdecbfecb5f9601833981930"/>
    <x v="0"/>
    <x v="3"/>
    <x v="3"/>
    <n v="149.9"/>
    <n v="13.18"/>
    <n v="163.08000000000001"/>
    <s v="Ship-by 2018-03-09 (10 day(s) ago); not handed to carrier; estimated delivery 2018-03-27"/>
    <x v="3"/>
    <x v="0"/>
    <x v="0"/>
    <x v="0"/>
  </r>
  <r>
    <n v="561"/>
    <x v="3"/>
    <x v="1"/>
    <x v="3"/>
    <x v="3"/>
    <s v="d1bf35d75370a60c682bef1964a52443"/>
    <d v="2018-03-05T00:00:00"/>
    <d v="2018-04-02T00:00:00"/>
    <x v="18"/>
    <d v="2018-03-09T00:00:00"/>
    <x v="0"/>
    <m/>
    <x v="0"/>
    <x v="1"/>
    <x v="0"/>
    <s v="f27e33c6d29b5138fa9967bcd445b6d5"/>
    <x v="0"/>
    <x v="0"/>
    <x v="2"/>
    <n v="109.9"/>
    <n v="18.350000000000001"/>
    <n v="128.25"/>
    <s v="Ship-by 2018-03-09 (10 day(s) ago); not handed to carrier; estimated delivery 2018-04-02"/>
    <x v="3"/>
    <x v="0"/>
    <x v="0"/>
    <x v="0"/>
  </r>
  <r>
    <n v="562"/>
    <x v="3"/>
    <x v="1"/>
    <x v="3"/>
    <x v="3"/>
    <s v="5c932e0a181410b67c77daaed30991af"/>
    <d v="2018-03-05T00:00:00"/>
    <d v="2018-03-27T00:00:00"/>
    <x v="18"/>
    <d v="2018-03-11T00:00:00"/>
    <x v="0"/>
    <m/>
    <x v="0"/>
    <x v="4"/>
    <x v="0"/>
    <s v="88460e8ebdecbfecb5f9601833981930"/>
    <x v="0"/>
    <x v="3"/>
    <x v="3"/>
    <n v="449.7"/>
    <n v="42.51"/>
    <n v="492.21"/>
    <s v="Ship-by 2018-03-11 (8 day(s) ago); not handed to carrier; estimated delivery 2018-03-27"/>
    <x v="3"/>
    <x v="0"/>
    <x v="0"/>
    <x v="0"/>
  </r>
  <r>
    <n v="563"/>
    <x v="3"/>
    <x v="1"/>
    <x v="3"/>
    <x v="3"/>
    <s v="0decd9643e5f685a9fc1bf05ab16a186"/>
    <d v="2018-03-06T00:00:00"/>
    <d v="2018-04-02T00:00:00"/>
    <x v="18"/>
    <d v="2018-03-12T00:00:00"/>
    <x v="0"/>
    <m/>
    <x v="0"/>
    <x v="1"/>
    <x v="0"/>
    <s v="e9bc59e7b60fc3063eb2290deda4cced"/>
    <x v="0"/>
    <x v="3"/>
    <x v="2"/>
    <n v="669"/>
    <n v="27.61"/>
    <n v="696.61"/>
    <s v="Ship-by 2018-03-12 (7 day(s) ago); not handed to carrier; estimated delivery 2018-04-02"/>
    <x v="3"/>
    <x v="0"/>
    <x v="0"/>
    <x v="0"/>
  </r>
  <r>
    <n v="564"/>
    <x v="3"/>
    <x v="1"/>
    <x v="3"/>
    <x v="3"/>
    <s v="be754126110440ba89a5456475333453"/>
    <d v="2018-03-02T00:00:00"/>
    <d v="2018-03-28T00:00:00"/>
    <x v="18"/>
    <d v="2018-03-12T00:00:00"/>
    <x v="0"/>
    <m/>
    <x v="0"/>
    <x v="6"/>
    <x v="0"/>
    <s v="c1ed9e3daf6154542826a6996af0fb8c"/>
    <x v="0"/>
    <x v="5"/>
    <x v="1"/>
    <n v="329.5"/>
    <n v="84.5"/>
    <n v="414"/>
    <s v="Ship-by 2018-03-12 (7 day(s) ago); not handed to carrier; estimated delivery 2018-03-28"/>
    <x v="3"/>
    <x v="0"/>
    <x v="0"/>
    <x v="0"/>
  </r>
  <r>
    <n v="565"/>
    <x v="3"/>
    <x v="1"/>
    <x v="3"/>
    <x v="3"/>
    <s v="43e1069a30462196f230706e01f65785"/>
    <d v="2018-03-06T00:00:00"/>
    <d v="2018-04-02T00:00:00"/>
    <x v="18"/>
    <d v="2018-03-12T00:00:00"/>
    <x v="0"/>
    <m/>
    <x v="0"/>
    <x v="1"/>
    <x v="0"/>
    <s v="88460e8ebdecbfecb5f9601833981930"/>
    <x v="0"/>
    <x v="3"/>
    <x v="3"/>
    <n v="149.9"/>
    <n v="14.17"/>
    <n v="164.07"/>
    <s v="Ship-by 2018-03-12 (7 day(s) ago); not handed to carrier; estimated delivery 2018-04-02"/>
    <x v="3"/>
    <x v="0"/>
    <x v="0"/>
    <x v="0"/>
  </r>
  <r>
    <n v="566"/>
    <x v="3"/>
    <x v="1"/>
    <x v="3"/>
    <x v="3"/>
    <s v="bf59b8c2b20f173069f5304326665611"/>
    <d v="2018-03-02T00:00:00"/>
    <d v="2018-03-20T00:00:00"/>
    <x v="18"/>
    <d v="2018-03-12T00:00:00"/>
    <x v="0"/>
    <m/>
    <x v="0"/>
    <x v="1"/>
    <x v="0"/>
    <s v="88460e8ebdecbfecb5f9601833981930"/>
    <x v="0"/>
    <x v="3"/>
    <x v="10"/>
    <n v="149.9"/>
    <n v="13.18"/>
    <n v="163.08000000000001"/>
    <s v="Ship-by 2018-03-12 (7 day(s) ago); not handed to carrier; estimated delivery 2018-03-20"/>
    <x v="3"/>
    <x v="0"/>
    <x v="0"/>
    <x v="0"/>
  </r>
  <r>
    <n v="567"/>
    <x v="3"/>
    <x v="1"/>
    <x v="3"/>
    <x v="3"/>
    <s v="d95dc7171d00d08c5e2c57e693161db7"/>
    <d v="2018-03-03T00:00:00"/>
    <d v="2018-03-27T00:00:00"/>
    <x v="18"/>
    <d v="2018-03-12T00:00:00"/>
    <x v="0"/>
    <m/>
    <x v="0"/>
    <x v="1"/>
    <x v="0"/>
    <s v="88460e8ebdecbfecb5f9601833981930"/>
    <x v="0"/>
    <x v="3"/>
    <x v="5"/>
    <n v="149.9"/>
    <n v="15.8"/>
    <n v="165.7"/>
    <s v="Ship-by 2018-03-12 (7 day(s) ago); not handed to carrier; estimated delivery 2018-03-27"/>
    <x v="3"/>
    <x v="0"/>
    <x v="0"/>
    <x v="0"/>
  </r>
  <r>
    <n v="568"/>
    <x v="3"/>
    <x v="1"/>
    <x v="3"/>
    <x v="3"/>
    <s v="05095322e4f3619255e9450335966c33"/>
    <d v="2018-03-02T00:00:00"/>
    <d v="2018-03-23T00:00:00"/>
    <x v="18"/>
    <d v="2018-03-12T00:00:00"/>
    <x v="0"/>
    <m/>
    <x v="0"/>
    <x v="1"/>
    <x v="0"/>
    <s v="1987cd4be10fe09ee50454f9c354d1c6"/>
    <x v="0"/>
    <x v="1"/>
    <x v="2"/>
    <n v="120"/>
    <n v="12.97"/>
    <n v="132.97"/>
    <s v="Ship-by 2018-03-12 (7 day(s) ago); not handed to carrier; estimated delivery 2018-03-23"/>
    <x v="3"/>
    <x v="0"/>
    <x v="0"/>
    <x v="0"/>
  </r>
  <r>
    <n v="569"/>
    <x v="3"/>
    <x v="1"/>
    <x v="3"/>
    <x v="3"/>
    <s v="75de3533485debf7b6eb8014b9c9ab76"/>
    <d v="2018-02-26T00:00:00"/>
    <d v="2018-03-26T00:00:00"/>
    <x v="18"/>
    <d v="2018-03-12T00:00:00"/>
    <x v="0"/>
    <m/>
    <x v="0"/>
    <x v="1"/>
    <x v="0"/>
    <s v="85d9eb9ddc5d00ca9336a2219c97bb13"/>
    <x v="0"/>
    <x v="1"/>
    <x v="3"/>
    <n v="31.9"/>
    <n v="14.1"/>
    <n v="46"/>
    <s v="Ship-by 2018-03-12 (7 day(s) ago); not handed to carrier; estimated delivery 2018-03-26"/>
    <x v="3"/>
    <x v="0"/>
    <x v="0"/>
    <x v="0"/>
  </r>
  <r>
    <n v="570"/>
    <x v="3"/>
    <x v="1"/>
    <x v="3"/>
    <x v="3"/>
    <s v="a911878b89655a6ca2a33ed01e1c8d3d"/>
    <d v="2018-03-05T00:00:00"/>
    <d v="2018-03-19T00:00:00"/>
    <x v="18"/>
    <d v="2018-03-13T00:00:00"/>
    <x v="0"/>
    <m/>
    <x v="0"/>
    <x v="1"/>
    <x v="0"/>
    <s v="312ba1d77e9c332ef21f9598b7f64cd7"/>
    <x v="0"/>
    <x v="0"/>
    <x v="3"/>
    <n v="81"/>
    <n v="9.3800000000000008"/>
    <n v="90.38"/>
    <s v="Ship-by 2018-03-13 (6 day(s) ago); not handed to carrier; estimated delivery 2018-03-19"/>
    <x v="3"/>
    <x v="0"/>
    <x v="0"/>
    <x v="0"/>
  </r>
  <r>
    <n v="571"/>
    <x v="3"/>
    <x v="1"/>
    <x v="3"/>
    <x v="3"/>
    <s v="49c9dc330935365ca454ba89a8a20efb"/>
    <d v="2018-03-05T00:00:00"/>
    <d v="2018-03-26T00:00:00"/>
    <x v="18"/>
    <d v="2018-03-13T00:00:00"/>
    <x v="0"/>
    <m/>
    <x v="0"/>
    <x v="1"/>
    <x v="0"/>
    <s v="391bbd13b6452244774beff1824006ed"/>
    <x v="0"/>
    <x v="0"/>
    <x v="2"/>
    <n v="63.9"/>
    <n v="17.7"/>
    <n v="81.599999999999994"/>
    <s v="Ship-by 2018-03-13 (6 day(s) ago); not handed to carrier; estimated delivery 2018-03-26"/>
    <x v="3"/>
    <x v="0"/>
    <x v="0"/>
    <x v="0"/>
  </r>
  <r>
    <n v="572"/>
    <x v="3"/>
    <x v="1"/>
    <x v="3"/>
    <x v="3"/>
    <s v="1ab8b3bd6a4d22497ce5164c01bc0e2c"/>
    <d v="2018-03-05T00:00:00"/>
    <d v="2018-04-05T00:00:00"/>
    <x v="18"/>
    <d v="2018-03-13T00:00:00"/>
    <x v="0"/>
    <m/>
    <x v="0"/>
    <x v="2"/>
    <x v="0"/>
    <s v="8ab42aa58097fd4668d60cc648225d5f"/>
    <x v="0"/>
    <x v="10"/>
    <x v="3"/>
    <n v="44"/>
    <n v="19.96"/>
    <n v="63.95"/>
    <s v="Ship-by 2018-03-13 (6 day(s) ago); not handed to carrier; estimated delivery 2018-04-05"/>
    <x v="3"/>
    <x v="0"/>
    <x v="0"/>
    <x v="0"/>
  </r>
  <r>
    <n v="573"/>
    <x v="3"/>
    <x v="1"/>
    <x v="3"/>
    <x v="3"/>
    <s v="febcb6742e4652312e996b6bc7fbcdd8"/>
    <d v="2018-03-06T00:00:00"/>
    <d v="2018-03-27T00:00:00"/>
    <x v="18"/>
    <d v="2018-03-13T00:00:00"/>
    <x v="0"/>
    <m/>
    <x v="0"/>
    <x v="1"/>
    <x v="0"/>
    <s v="827f8f69dfa529c561901c4f2e0f332f"/>
    <x v="0"/>
    <x v="3"/>
    <x v="5"/>
    <n v="29.9"/>
    <n v="15.23"/>
    <n v="45.13"/>
    <s v="Ship-by 2018-03-13 (6 day(s) ago); not handed to carrier; estimated delivery 2018-03-27"/>
    <x v="3"/>
    <x v="0"/>
    <x v="0"/>
    <x v="0"/>
  </r>
  <r>
    <n v="574"/>
    <x v="3"/>
    <x v="1"/>
    <x v="3"/>
    <x v="3"/>
    <s v="40a1b377583e234ad0cb70b2a7f3ea30"/>
    <d v="2018-03-05T00:00:00"/>
    <d v="2018-03-28T00:00:00"/>
    <x v="18"/>
    <d v="2018-03-14T00:00:00"/>
    <x v="0"/>
    <m/>
    <x v="0"/>
    <x v="1"/>
    <x v="0"/>
    <s v="54065e9aef7e9e9c2dc23b7594db021a"/>
    <x v="0"/>
    <x v="4"/>
    <x v="5"/>
    <n v="499"/>
    <n v="19.93"/>
    <n v="518.92999999999995"/>
    <s v="Ship-by 2018-03-14 (5 day(s) ago); not handed to carrier; estimated delivery 2018-03-28"/>
    <x v="3"/>
    <x v="0"/>
    <x v="0"/>
    <x v="0"/>
  </r>
  <r>
    <n v="575"/>
    <x v="3"/>
    <x v="1"/>
    <x v="3"/>
    <x v="3"/>
    <s v="de2ffdb58d14dd76c8863458e5be6b72"/>
    <d v="2018-03-08T00:00:00"/>
    <d v="2018-04-04T00:00:00"/>
    <x v="18"/>
    <d v="2018-03-14T00:00:00"/>
    <x v="0"/>
    <m/>
    <x v="0"/>
    <x v="1"/>
    <x v="0"/>
    <s v="522620dcb18a6b31cd7bdf73665113a9"/>
    <x v="0"/>
    <x v="3"/>
    <x v="2"/>
    <n v="299"/>
    <n v="25.72"/>
    <n v="324.72000000000003"/>
    <s v="Ship-by 2018-03-14 (5 day(s) ago); not handed to carrier; estimated delivery 2018-04-04"/>
    <x v="3"/>
    <x v="0"/>
    <x v="0"/>
    <x v="0"/>
  </r>
  <r>
    <n v="576"/>
    <x v="3"/>
    <x v="1"/>
    <x v="3"/>
    <x v="3"/>
    <s v="f099e70d7cf0a758ccb7fb362d477166"/>
    <d v="2018-03-06T00:00:00"/>
    <d v="2018-03-26T00:00:00"/>
    <x v="18"/>
    <d v="2018-03-14T00:00:00"/>
    <x v="0"/>
    <m/>
    <x v="0"/>
    <x v="1"/>
    <x v="0"/>
    <s v="a49928bcdf77c55c6d6e05e09a9b4ca5"/>
    <x v="0"/>
    <x v="0"/>
    <x v="2"/>
    <n v="89.9"/>
    <n v="23.21"/>
    <n v="113.11"/>
    <s v="Ship-by 2018-03-14 (5 day(s) ago); not handed to carrier; estimated delivery 2018-03-26"/>
    <x v="3"/>
    <x v="0"/>
    <x v="0"/>
    <x v="0"/>
  </r>
  <r>
    <n v="577"/>
    <x v="3"/>
    <x v="1"/>
    <x v="3"/>
    <x v="3"/>
    <s v="961f2f24951560987b91c89816b10cae"/>
    <d v="2018-02-26T00:00:00"/>
    <d v="2018-04-05T00:00:00"/>
    <x v="18"/>
    <d v="2018-03-14T00:00:00"/>
    <x v="0"/>
    <m/>
    <x v="0"/>
    <x v="2"/>
    <x v="0"/>
    <s v="85d9eb9ddc5d00ca9336a2219c97bb13"/>
    <x v="0"/>
    <x v="1"/>
    <x v="0"/>
    <n v="63.8"/>
    <n v="68.3"/>
    <n v="132.1"/>
    <s v="Ship-by 2018-03-14 (5 day(s) ago); not handed to carrier; estimated delivery 2018-04-05"/>
    <x v="3"/>
    <x v="0"/>
    <x v="0"/>
    <x v="0"/>
  </r>
  <r>
    <n v="578"/>
    <x v="3"/>
    <x v="1"/>
    <x v="3"/>
    <x v="3"/>
    <s v="bb36ee4537bf2692447d8cbf50cf6c11"/>
    <d v="2018-03-08T00:00:00"/>
    <d v="2018-03-26T00:00:00"/>
    <x v="18"/>
    <d v="2018-03-14T00:00:00"/>
    <x v="0"/>
    <m/>
    <x v="0"/>
    <x v="1"/>
    <x v="0"/>
    <s v="318f287a62ab7ac10b703ac37435a231"/>
    <x v="0"/>
    <x v="0"/>
    <x v="2"/>
    <n v="39"/>
    <n v="21.43"/>
    <n v="60.43"/>
    <s v="Ship-by 2018-03-14 (5 day(s) ago); not handed to carrier; estimated delivery 2018-03-26"/>
    <x v="3"/>
    <x v="0"/>
    <x v="0"/>
    <x v="0"/>
  </r>
  <r>
    <n v="579"/>
    <x v="3"/>
    <x v="1"/>
    <x v="3"/>
    <x v="3"/>
    <s v="71c04eba03595f13adc87878455ffa92"/>
    <d v="2018-03-08T00:00:00"/>
    <d v="2018-03-27T00:00:00"/>
    <x v="18"/>
    <d v="2018-03-14T00:00:00"/>
    <x v="0"/>
    <m/>
    <x v="0"/>
    <x v="1"/>
    <x v="0"/>
    <s v="0ea22c1cfbdc755f86b9b54b39c16043"/>
    <x v="0"/>
    <x v="1"/>
    <x v="3"/>
    <n v="34.9"/>
    <n v="15.23"/>
    <n v="50.13"/>
    <s v="Ship-by 2018-03-14 (5 day(s) ago); not handed to carrier; estimated delivery 2018-03-27"/>
    <x v="3"/>
    <x v="0"/>
    <x v="0"/>
    <x v="0"/>
  </r>
  <r>
    <n v="580"/>
    <x v="3"/>
    <x v="1"/>
    <x v="3"/>
    <x v="3"/>
    <s v="fefbe15ebcd87ab3fb8577e635a8b31c"/>
    <d v="2018-03-08T00:00:00"/>
    <d v="2018-03-20T00:00:00"/>
    <x v="18"/>
    <d v="2018-03-14T00:00:00"/>
    <x v="0"/>
    <m/>
    <x v="0"/>
    <x v="1"/>
    <x v="0"/>
    <s v="9539213aa8e023c01937bef95dc006da"/>
    <x v="0"/>
    <x v="0"/>
    <x v="3"/>
    <n v="19.899999999999999"/>
    <n v="8.2899999999999991"/>
    <n v="28.19"/>
    <s v="Ship-by 2018-03-14 (5 day(s) ago); not handed to carrier; estimated delivery 2018-03-20"/>
    <x v="3"/>
    <x v="0"/>
    <x v="0"/>
    <x v="0"/>
  </r>
  <r>
    <n v="581"/>
    <x v="3"/>
    <x v="1"/>
    <x v="3"/>
    <x v="3"/>
    <s v="77e1d11cc4954b7a395f9ecba7edd397"/>
    <d v="2018-03-09T00:00:00"/>
    <d v="2018-04-05T00:00:00"/>
    <x v="18"/>
    <d v="2018-03-15T00:00:00"/>
    <x v="0"/>
    <m/>
    <x v="0"/>
    <x v="2"/>
    <x v="0"/>
    <s v="c26a2be5b53b7db6b276280da212a779"/>
    <x v="0"/>
    <x v="4"/>
    <x v="1"/>
    <n v="898"/>
    <n v="41.72"/>
    <n v="939.72"/>
    <s v="Ship-by 2018-03-15 (4 day(s) ago); not handed to carrier; estimated delivery 2018-04-05"/>
    <x v="3"/>
    <x v="0"/>
    <x v="0"/>
    <x v="0"/>
  </r>
  <r>
    <n v="582"/>
    <x v="3"/>
    <x v="1"/>
    <x v="3"/>
    <x v="3"/>
    <s v="ac018e51985244ead60060db0a84f1ad"/>
    <d v="2018-03-11T00:00:00"/>
    <d v="2018-04-11T00:00:00"/>
    <x v="18"/>
    <d v="2018-03-15T00:00:00"/>
    <x v="0"/>
    <m/>
    <x v="0"/>
    <x v="1"/>
    <x v="0"/>
    <s v="a6bd7d1ccdac48c6b33b28596b7eb122"/>
    <x v="0"/>
    <x v="11"/>
    <x v="0"/>
    <n v="849.5"/>
    <n v="24.92"/>
    <n v="874.42"/>
    <s v="Ship-by 2018-03-15 (4 day(s) ago); not handed to carrier; estimated delivery 2018-04-11"/>
    <x v="3"/>
    <x v="0"/>
    <x v="0"/>
    <x v="0"/>
  </r>
  <r>
    <n v="583"/>
    <x v="3"/>
    <x v="1"/>
    <x v="3"/>
    <x v="3"/>
    <s v="751410acff2d9dbfee9158ae8e21d6d6"/>
    <d v="2018-03-10T00:00:00"/>
    <d v="2018-04-12T00:00:00"/>
    <x v="18"/>
    <d v="2018-03-15T00:00:00"/>
    <x v="0"/>
    <m/>
    <x v="0"/>
    <x v="1"/>
    <x v="0"/>
    <s v="a6bd7d1ccdac48c6b33b28596b7eb122"/>
    <x v="0"/>
    <x v="11"/>
    <x v="1"/>
    <n v="679"/>
    <n v="56.88"/>
    <n v="735.88"/>
    <s v="Ship-by 2018-03-15 (4 day(s) ago); not handed to carrier; estimated delivery 2018-04-12"/>
    <x v="3"/>
    <x v="0"/>
    <x v="0"/>
    <x v="0"/>
  </r>
  <r>
    <n v="584"/>
    <x v="3"/>
    <x v="1"/>
    <x v="3"/>
    <x v="3"/>
    <s v="33c5dbe43ca27f9986dd3c0f02b94286"/>
    <d v="2018-03-06T00:00:00"/>
    <d v="2018-03-26T00:00:00"/>
    <x v="18"/>
    <d v="2018-03-15T00:00:00"/>
    <x v="0"/>
    <m/>
    <x v="0"/>
    <x v="1"/>
    <x v="0"/>
    <s v="821fb029fc6e495ca4f08a35d51e53a5"/>
    <x v="0"/>
    <x v="0"/>
    <x v="21"/>
    <n v="389"/>
    <n v="55.25"/>
    <n v="444.25"/>
    <s v="Ship-by 2018-03-15 (4 day(s) ago); not handed to carrier; estimated delivery 2018-03-26"/>
    <x v="3"/>
    <x v="0"/>
    <x v="0"/>
    <x v="0"/>
  </r>
  <r>
    <n v="585"/>
    <x v="3"/>
    <x v="1"/>
    <x v="3"/>
    <x v="3"/>
    <s v="f71952473c83952e23fb55146d59bfe2"/>
    <d v="2018-03-10T00:00:00"/>
    <d v="2018-03-22T00:00:00"/>
    <x v="18"/>
    <d v="2018-03-15T00:00:00"/>
    <x v="0"/>
    <m/>
    <x v="0"/>
    <x v="1"/>
    <x v="0"/>
    <s v="45d33f715e24d15a6ccf5c17b3a23e3c"/>
    <x v="0"/>
    <x v="0"/>
    <x v="3"/>
    <n v="238.97"/>
    <n v="14.38"/>
    <n v="253.35"/>
    <s v="Ship-by 2018-03-15 (4 day(s) ago); not handed to carrier; estimated delivery 2018-03-22"/>
    <x v="3"/>
    <x v="0"/>
    <x v="0"/>
    <x v="0"/>
  </r>
  <r>
    <n v="586"/>
    <x v="3"/>
    <x v="1"/>
    <x v="3"/>
    <x v="3"/>
    <s v="00e054d0da011d5016f31011af488f4f"/>
    <d v="2018-03-11T00:00:00"/>
    <d v="2018-03-28T00:00:00"/>
    <x v="18"/>
    <d v="2018-03-15T00:00:00"/>
    <x v="0"/>
    <m/>
    <x v="0"/>
    <x v="1"/>
    <x v="0"/>
    <s v="c3867b4666c7d76867627c2f7fb22e21"/>
    <x v="0"/>
    <x v="0"/>
    <x v="3"/>
    <n v="104"/>
    <n v="14.82"/>
    <n v="118.82"/>
    <s v="Ship-by 2018-03-15 (4 day(s) ago); not handed to carrier; estimated delivery 2018-03-28"/>
    <x v="3"/>
    <x v="0"/>
    <x v="0"/>
    <x v="0"/>
  </r>
  <r>
    <n v="587"/>
    <x v="3"/>
    <x v="1"/>
    <x v="3"/>
    <x v="3"/>
    <s v="81b6015857004cedcfbc04ae95d7bfe5"/>
    <d v="2018-03-10T00:00:00"/>
    <d v="2018-03-28T00:00:00"/>
    <x v="18"/>
    <d v="2018-03-15T00:00:00"/>
    <x v="0"/>
    <m/>
    <x v="0"/>
    <x v="2"/>
    <x v="0"/>
    <s v="1835b56ce799e6a4dc4eddc053f04066"/>
    <x v="0"/>
    <x v="0"/>
    <x v="3"/>
    <n v="90.98"/>
    <n v="26.5"/>
    <n v="117.48"/>
    <s v="Ship-by 2018-03-15 (4 day(s) ago); not handed to carrier; estimated delivery 2018-03-28"/>
    <x v="3"/>
    <x v="0"/>
    <x v="0"/>
    <x v="0"/>
  </r>
  <r>
    <n v="588"/>
    <x v="3"/>
    <x v="1"/>
    <x v="3"/>
    <x v="3"/>
    <s v="b40011de1f5f6fd26301ad1801f850c8"/>
    <d v="2018-03-11T00:00:00"/>
    <d v="2018-03-22T00:00:00"/>
    <x v="18"/>
    <d v="2018-03-15T00:00:00"/>
    <x v="0"/>
    <m/>
    <x v="0"/>
    <x v="1"/>
    <x v="0"/>
    <s v="b561927807645834b59ef0d16ba55a24"/>
    <x v="0"/>
    <x v="0"/>
    <x v="3"/>
    <n v="66"/>
    <n v="7.39"/>
    <n v="73.39"/>
    <s v="Ship-by 2018-03-15 (4 day(s) ago); not handed to carrier; estimated delivery 2018-03-22"/>
    <x v="3"/>
    <x v="0"/>
    <x v="0"/>
    <x v="0"/>
  </r>
  <r>
    <n v="589"/>
    <x v="3"/>
    <x v="1"/>
    <x v="3"/>
    <x v="3"/>
    <s v="1b81f91da4e3e80f225b9295696ca22d"/>
    <d v="2018-03-07T00:00:00"/>
    <d v="2018-03-19T00:00:00"/>
    <x v="18"/>
    <d v="2018-03-15T00:00:00"/>
    <x v="0"/>
    <m/>
    <x v="0"/>
    <x v="1"/>
    <x v="0"/>
    <s v="ef506c96320abeedfb894c34db06f478"/>
    <x v="0"/>
    <x v="0"/>
    <x v="3"/>
    <n v="34.99"/>
    <n v="8.4"/>
    <n v="43.39"/>
    <s v="Ship-by 2018-03-15 (4 day(s) ago); not handed to carrier; estimated delivery 2018-03-19"/>
    <x v="3"/>
    <x v="0"/>
    <x v="0"/>
    <x v="0"/>
  </r>
  <r>
    <n v="590"/>
    <x v="3"/>
    <x v="1"/>
    <x v="3"/>
    <x v="3"/>
    <s v="08f5487befe25744feabb3203a4dc09b"/>
    <d v="2018-02-27T00:00:00"/>
    <d v="2018-04-02T00:00:00"/>
    <x v="18"/>
    <d v="2018-03-15T00:00:00"/>
    <x v="0"/>
    <m/>
    <x v="0"/>
    <x v="1"/>
    <x v="0"/>
    <s v="85d9eb9ddc5d00ca9336a2219c97bb13"/>
    <x v="0"/>
    <x v="1"/>
    <x v="8"/>
    <n v="31.9"/>
    <n v="16.79"/>
    <n v="48.69"/>
    <s v="Ship-by 2018-03-15 (4 day(s) ago); not handed to carrier; estimated delivery 2018-04-02"/>
    <x v="3"/>
    <x v="0"/>
    <x v="0"/>
    <x v="0"/>
  </r>
  <r>
    <n v="591"/>
    <x v="3"/>
    <x v="1"/>
    <x v="3"/>
    <x v="3"/>
    <s v="1b82cfd1e6a6d682ee254b2ff4cf387f"/>
    <d v="2018-03-11T00:00:00"/>
    <d v="2018-03-29T00:00:00"/>
    <x v="18"/>
    <d v="2018-03-15T00:00:00"/>
    <x v="0"/>
    <m/>
    <x v="0"/>
    <x v="1"/>
    <x v="0"/>
    <s v="9539213aa8e023c01937bef95dc006da"/>
    <x v="0"/>
    <x v="0"/>
    <x v="1"/>
    <n v="29.9"/>
    <n v="15.23"/>
    <n v="45.13"/>
    <s v="Ship-by 2018-03-15 (4 day(s) ago); not handed to carrier; estimated delivery 2018-03-29"/>
    <x v="3"/>
    <x v="0"/>
    <x v="0"/>
    <x v="0"/>
  </r>
  <r>
    <n v="592"/>
    <x v="3"/>
    <x v="1"/>
    <x v="3"/>
    <x v="3"/>
    <s v="ca2c921a5b9d60eba417d106c724c6f6"/>
    <d v="2018-03-01T00:00:00"/>
    <d v="2018-04-17T00:00:00"/>
    <x v="18"/>
    <d v="2018-03-15T00:00:00"/>
    <x v="0"/>
    <m/>
    <x v="0"/>
    <x v="1"/>
    <x v="0"/>
    <s v="85d9eb9ddc5d00ca9336a2219c97bb13"/>
    <x v="0"/>
    <x v="1"/>
    <x v="23"/>
    <n v="27.9"/>
    <n v="31.02"/>
    <n v="58.92"/>
    <s v="Ship-by 2018-03-15 (4 day(s) ago); not handed to carrier; estimated delivery 2018-04-17"/>
    <x v="3"/>
    <x v="0"/>
    <x v="0"/>
    <x v="0"/>
  </r>
  <r>
    <n v="593"/>
    <x v="3"/>
    <x v="1"/>
    <x v="3"/>
    <x v="3"/>
    <s v="e8aed7e2732f05f26379ccfdd493be62"/>
    <d v="2018-03-08T00:00:00"/>
    <d v="2018-04-02T00:00:00"/>
    <x v="18"/>
    <d v="2018-03-15T00:00:00"/>
    <x v="0"/>
    <m/>
    <x v="0"/>
    <x v="1"/>
    <x v="0"/>
    <s v="7d76b645482be4a332374e8223836592"/>
    <x v="0"/>
    <x v="0"/>
    <x v="9"/>
    <n v="18.899999999999999"/>
    <n v="18.23"/>
    <n v="37.130000000000003"/>
    <s v="Ship-by 2018-03-15 (4 day(s) ago); not handed to carrier; estimated delivery 2018-04-02"/>
    <x v="3"/>
    <x v="0"/>
    <x v="0"/>
    <x v="0"/>
  </r>
  <r>
    <n v="594"/>
    <x v="3"/>
    <x v="1"/>
    <x v="3"/>
    <x v="3"/>
    <s v="9edec07b1f5b49856627e878dc1a41b0"/>
    <d v="2018-03-12T00:00:00"/>
    <d v="2018-04-04T00:00:00"/>
    <x v="18"/>
    <d v="2018-03-16T00:00:00"/>
    <x v="0"/>
    <m/>
    <x v="0"/>
    <x v="1"/>
    <x v="0"/>
    <s v="33c51922b6e3c16b24a8f28e5833c99d"/>
    <x v="0"/>
    <x v="3"/>
    <x v="3"/>
    <n v="479.82"/>
    <n v="17.440000000000001"/>
    <n v="497.26"/>
    <s v="Ship-by 2018-03-16 (3 day(s) ago); not handed to carrier; estimated delivery 2018-04-04"/>
    <x v="3"/>
    <x v="0"/>
    <x v="0"/>
    <x v="0"/>
  </r>
  <r>
    <n v="595"/>
    <x v="3"/>
    <x v="1"/>
    <x v="3"/>
    <x v="3"/>
    <s v="37e5806494067b6dcc269c80c272eab2"/>
    <d v="2018-03-08T00:00:00"/>
    <d v="2018-03-22T00:00:00"/>
    <x v="18"/>
    <d v="2018-03-16T00:00:00"/>
    <x v="0"/>
    <m/>
    <x v="0"/>
    <x v="2"/>
    <x v="0"/>
    <s v="312ba1d77e9c332ef21f9598b7f64cd7"/>
    <x v="0"/>
    <x v="0"/>
    <x v="3"/>
    <n v="162"/>
    <n v="20.260000000000002"/>
    <n v="182.26"/>
    <s v="Ship-by 2018-03-16 (3 day(s) ago); not handed to carrier; estimated delivery 2018-03-22"/>
    <x v="3"/>
    <x v="0"/>
    <x v="0"/>
    <x v="0"/>
  </r>
  <r>
    <n v="596"/>
    <x v="3"/>
    <x v="1"/>
    <x v="3"/>
    <x v="3"/>
    <s v="51cd5fcee08447be92f8eb9852235f45"/>
    <d v="2018-03-12T00:00:00"/>
    <d v="2018-03-28T00:00:00"/>
    <x v="18"/>
    <d v="2018-03-16T00:00:00"/>
    <x v="0"/>
    <m/>
    <x v="0"/>
    <x v="1"/>
    <x v="0"/>
    <s v="3f9c56764fabca627406093dcb3ef0b4"/>
    <x v="0"/>
    <x v="4"/>
    <x v="1"/>
    <n v="129.9"/>
    <n v="15.61"/>
    <n v="145.51"/>
    <s v="Ship-by 2018-03-16 (3 day(s) ago); not handed to carrier; estimated delivery 2018-03-28"/>
    <x v="3"/>
    <x v="0"/>
    <x v="0"/>
    <x v="0"/>
  </r>
  <r>
    <n v="597"/>
    <x v="3"/>
    <x v="1"/>
    <x v="3"/>
    <x v="3"/>
    <s v="cc0ef7be3ac8e4f2887c5ea6dc590e41"/>
    <d v="2018-03-08T00:00:00"/>
    <d v="2018-04-04T00:00:00"/>
    <x v="18"/>
    <d v="2018-03-16T00:00:00"/>
    <x v="0"/>
    <m/>
    <x v="0"/>
    <x v="1"/>
    <x v="0"/>
    <s v="312ba1d77e9c332ef21f9598b7f64cd7"/>
    <x v="0"/>
    <x v="0"/>
    <x v="5"/>
    <n v="54"/>
    <n v="16.350000000000001"/>
    <n v="70.349999999999994"/>
    <s v="Ship-by 2018-03-16 (3 day(s) ago); not handed to carrier; estimated delivery 2018-04-04"/>
    <x v="3"/>
    <x v="0"/>
    <x v="0"/>
    <x v="0"/>
  </r>
  <r>
    <n v="598"/>
    <x v="3"/>
    <x v="1"/>
    <x v="3"/>
    <x v="3"/>
    <s v="21bdc97768bc2e7a3e428d0ede7deb85"/>
    <d v="2018-03-01T00:00:00"/>
    <d v="2018-04-03T00:00:00"/>
    <x v="18"/>
    <d v="2018-03-16T00:00:00"/>
    <x v="0"/>
    <m/>
    <x v="0"/>
    <x v="1"/>
    <x v="0"/>
    <s v="85d9eb9ddc5d00ca9336a2219c97bb13"/>
    <x v="0"/>
    <x v="1"/>
    <x v="4"/>
    <n v="27.9"/>
    <n v="16.79"/>
    <n v="44.69"/>
    <s v="Ship-by 2018-03-16 (3 day(s) ago); not handed to carrier; estimated delivery 2018-04-03"/>
    <x v="3"/>
    <x v="0"/>
    <x v="0"/>
    <x v="0"/>
  </r>
  <r>
    <n v="599"/>
    <x v="3"/>
    <x v="1"/>
    <x v="3"/>
    <x v="3"/>
    <s v="cfe7b4c34db01ec6e038ce0d1f4e75c9"/>
    <d v="2018-02-28T00:00:00"/>
    <d v="2018-04-06T00:00:00"/>
    <x v="18"/>
    <d v="2018-03-16T00:00:00"/>
    <x v="0"/>
    <m/>
    <x v="0"/>
    <x v="1"/>
    <x v="0"/>
    <s v="85d9eb9ddc5d00ca9336a2219c97bb13"/>
    <x v="0"/>
    <x v="1"/>
    <x v="10"/>
    <n v="27.9"/>
    <n v="16.79"/>
    <n v="44.69"/>
    <s v="Ship-by 2018-03-16 (3 day(s) ago); not handed to carrier; estimated delivery 2018-04-06"/>
    <x v="3"/>
    <x v="0"/>
    <x v="0"/>
    <x v="0"/>
  </r>
  <r>
    <n v="600"/>
    <x v="3"/>
    <x v="1"/>
    <x v="3"/>
    <x v="3"/>
    <s v="2a37ffacefea8f1b482d7126c58d7de9"/>
    <d v="2018-03-09T00:00:00"/>
    <d v="2018-04-04T00:00:00"/>
    <x v="18"/>
    <d v="2018-03-16T00:00:00"/>
    <x v="0"/>
    <m/>
    <x v="0"/>
    <x v="1"/>
    <x v="0"/>
    <s v="92eb0f42c21942b6552362b9b114707d"/>
    <x v="0"/>
    <x v="0"/>
    <x v="8"/>
    <n v="13.99"/>
    <n v="15.23"/>
    <n v="29.22"/>
    <s v="Ship-by 2018-03-16 (3 day(s) ago); not handed to carrier; estimated delivery 2018-04-04"/>
    <x v="3"/>
    <x v="0"/>
    <x v="0"/>
    <x v="0"/>
  </r>
  <r>
    <n v="601"/>
    <x v="3"/>
    <x v="1"/>
    <x v="3"/>
    <x v="3"/>
    <s v="86ebe0e8621ac6e5bb8ee0bfad457b5e"/>
    <d v="2018-03-12T00:00:00"/>
    <d v="2018-04-06T00:00:00"/>
    <x v="18"/>
    <d v="2018-03-18T00:00:00"/>
    <x v="0"/>
    <m/>
    <x v="0"/>
    <x v="1"/>
    <x v="0"/>
    <s v="634964b17796e64304cadf1ad3050fb7"/>
    <x v="0"/>
    <x v="4"/>
    <x v="1"/>
    <n v="37.9"/>
    <n v="7.55"/>
    <n v="45.45"/>
    <s v="Ship-by 2018-03-18 (1 day(s) ago); not handed to carrier; estimated delivery 2018-04-06"/>
    <x v="3"/>
    <x v="0"/>
    <x v="0"/>
    <x v="0"/>
  </r>
  <r>
    <n v="602"/>
    <x v="3"/>
    <x v="1"/>
    <x v="3"/>
    <x v="3"/>
    <s v="473ab4c505ede7fd6b8de460fb374905"/>
    <d v="2018-03-12T00:00:00"/>
    <d v="2018-04-04T00:00:00"/>
    <x v="18"/>
    <d v="2018-03-18T00:00:00"/>
    <x v="0"/>
    <m/>
    <x v="0"/>
    <x v="1"/>
    <x v="0"/>
    <s v="128639473a139ac0f3e5f5ade55873a5"/>
    <x v="0"/>
    <x v="3"/>
    <x v="8"/>
    <n v="28.9"/>
    <n v="18.23"/>
    <n v="47.13"/>
    <s v="Ship-by 2018-03-18 (1 day(s) ago); not handed to carrier; estimated delivery 2018-04-04"/>
    <x v="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29F16-BCFB-4B90-99FE-DF5C3048491D}" name="ptException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fieldListSortAscending="1">
  <location ref="A4:D18" firstHeaderRow="0" firstDataRow="1" firstDataCol="2"/>
  <pivotFields count="27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3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5" subtotal="count" baseField="0" baseItem="0"/>
    <dataField name="Product value (BRL)" fld="1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6" xr16:uid="{36D667DE-2B31-4DCB-801A-52729379C5A1}" autoFormatId="16" applyNumberFormats="0" applyBorderFormats="0" applyFontFormats="1" applyPatternFormats="1" applyAlignmentFormats="0" applyWidthHeightFormats="0">
  <queryTableRefresh nextId="11">
    <queryTableFields count="10">
      <queryTableField id="1" name="metric_order" tableColumnId="11"/>
      <queryTableField id="2" name="section" tableColumnId="12"/>
      <queryTableField id="3" name="metric" tableColumnId="13"/>
      <queryTableField id="4" name="display_value" tableColumnId="14"/>
      <queryTableField id="5" name="value" tableColumnId="15"/>
      <queryTableField id="6" name="unit" tableColumnId="16"/>
      <queryTableField id="7" name="definition" tableColumnId="17"/>
      <queryTableField id="8" name="as_of_date" tableColumnId="18"/>
      <queryTableField id="9" name="window_start" tableColumnId="19"/>
      <queryTableField id="10" name="window_end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4" xr16:uid="{E3382766-6E4C-43AF-8731-5E85A67EE603}" autoFormatId="16" applyNumberFormats="0" applyBorderFormats="0" applyFontFormats="1" applyPatternFormats="1" applyAlignmentFormats="0" applyWidthHeightFormats="0">
  <queryTableRefresh nextId="18">
    <queryTableFields count="17">
      <queryTableField id="1" name="route" tableColumnId="18"/>
      <queryTableField id="2" name="origin_state" tableColumnId="19"/>
      <queryTableField id="3" name="destination_state" tableColumnId="20"/>
      <queryTableField id="4" name="is_interstate" tableColumnId="21"/>
      <queryTableField id="5" name="delivered_orders" tableColumnId="22"/>
      <queryTableField id="6" name="late_orders" tableColumnId="23"/>
      <queryTableField id="7" name="late_rate" tableColumnId="24"/>
      <queryTableField id="8" name="late_rate_vs_overall" tableColumnId="25"/>
      <queryTableField id="9" name="median_delivery_days" tableColumnId="26"/>
      <queryTableField id="10" name="product_value" tableColumnId="27"/>
      <queryTableField id="11" name="meets_min_sample" tableColumnId="28"/>
      <queryTableField id="12" name="sample_note" tableColumnId="29"/>
      <queryTableField id="13" name="late_rate_rank" tableColumnId="30"/>
      <queryTableField id="14" name="min_route_sample" tableColumnId="31"/>
      <queryTableField id="15" name="as_of_date" tableColumnId="32"/>
      <queryTableField id="16" name="window_start" tableColumnId="33"/>
      <queryTableField id="17" name="window_end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EBAB3FAC-B0F2-47C0-A4B4-84B3358C75D0}" autoFormatId="16" applyNumberFormats="0" applyBorderFormats="0" applyFontFormats="1" applyPatternFormats="1" applyAlignmentFormats="0" applyWidthHeightFormats="0">
  <queryTableRefresh nextId="28">
    <queryTableFields count="27">
      <queryTableField id="1" name="priority_rank" tableColumnId="28"/>
      <queryTableField id="2" name="priority" tableColumnId="29"/>
      <queryTableField id="3" name="exception_type" tableColumnId="30"/>
      <queryTableField id="4" name="rule_id" tableColumnId="31"/>
      <queryTableField id="5" name="rule_reason" tableColumnId="32"/>
      <queryTableField id="6" name="order_id" tableColumnId="33"/>
      <queryTableField id="7" name="purchase_date" tableColumnId="34"/>
      <queryTableField id="8" name="estimated_delivery_date" tableColumnId="35"/>
      <queryTableField id="9" name="days_overdue" tableColumnId="36"/>
      <queryTableField id="10" name="ship_by_date" tableColumnId="37"/>
      <queryTableField id="11" name="approved_by_cutoff" tableColumnId="38"/>
      <queryTableField id="12" name="carrier_handover_date" tableColumnId="39"/>
      <queryTableField id="13" name="became_overdue_this_window" tableColumnId="40"/>
      <queryTableField id="14" name="n_items" tableColumnId="41"/>
      <queryTableField id="15" name="n_sellers" tableColumnId="42"/>
      <queryTableField id="16" name="seller_id" tableColumnId="43"/>
      <queryTableField id="17" name="seller_attribution" tableColumnId="44"/>
      <queryTableField id="18" name="origin_states" tableColumnId="45"/>
      <queryTableField id="19" name="customer_state" tableColumnId="46"/>
      <queryTableField id="20" name="product_value" tableColumnId="47"/>
      <queryTableField id="21" name="freight_value" tableColumnId="48"/>
      <queryTableField id="22" name="payment_value" tableColumnId="49"/>
      <queryTableField id="23" name="evidence" tableColumnId="50"/>
      <queryTableField id="24" name="suggested_action" tableColumnId="51"/>
      <queryTableField id="25" name="as_of_date" tableColumnId="52"/>
      <queryTableField id="26" name="window_start" tableColumnId="53"/>
      <queryTableField id="27" name="window_end" tableColumnId="5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3" xr16:uid="{002655B4-49A5-46F8-B817-6233587D201E}" autoFormatId="16" applyNumberFormats="0" applyBorderFormats="0" applyFontFormats="1" applyPatternFormats="1" applyAlignmentFormats="0" applyWidthHeightFormats="0">
  <queryTableRefresh nextId="14">
    <queryTableFields count="13">
      <queryTableField id="1" name="check_order" tableColumnId="14"/>
      <queryTableField id="2" name="check_name" tableColumnId="15"/>
      <queryTableField id="3" name="source_a" tableColumnId="16"/>
      <queryTableField id="4" name="value_a" tableColumnId="17"/>
      <queryTableField id="5" name="source_b" tableColumnId="18"/>
      <queryTableField id="6" name="value_b" tableColumnId="19"/>
      <queryTableField id="7" name="difference" tableColumnId="20"/>
      <queryTableField id="8" name="expected_difference" tableColumnId="21"/>
      <queryTableField id="9" name="status" tableColumnId="22"/>
      <queryTableField id="10" name="note" tableColumnId="23"/>
      <queryTableField id="11" name="as_of_date" tableColumnId="24"/>
      <queryTableField id="12" name="window_start" tableColumnId="25"/>
      <queryTableField id="13" name="window_end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5" xr16:uid="{E2234954-F081-4D1A-997B-8359EB474DD6}" autoFormatId="16" applyNumberFormats="0" applyBorderFormats="0" applyFontFormats="1" applyPatternFormats="1" applyAlignmentFormats="0" applyWidthHeightFormats="0">
  <queryTableRefresh nextId="3">
    <queryTableFields count="2">
      <queryTableField id="1" name="item" tableColumnId="3"/>
      <queryTableField id="2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9A072-50D2-4BBE-B9FA-C7F8C0BDE0E9}" name="tblWeeklySummary" displayName="tblWeeklySummary" ref="A4:J26" tableType="queryTable" totalsRowShown="0">
  <autoFilter ref="A4:J26" xr:uid="{9669A072-50D2-4BBE-B9FA-C7F8C0BDE0E9}"/>
  <tableColumns count="10">
    <tableColumn id="11" xr3:uid="{A965B623-E04F-4F6B-9D10-BE9AA9606203}" uniqueName="11" name="metric_order" queryTableFieldId="1"/>
    <tableColumn id="12" xr3:uid="{88BB0EED-28AD-49A5-8EA4-9FF7954D7D43}" uniqueName="12" name="section" queryTableFieldId="2" dataDxfId="57"/>
    <tableColumn id="13" xr3:uid="{398EA8AB-14D2-4E50-8CCF-4A7DEA25C95C}" uniqueName="13" name="metric" queryTableFieldId="3" dataDxfId="56"/>
    <tableColumn id="14" xr3:uid="{925680D6-1B62-4828-9CE9-04EB9B2523AA}" uniqueName="14" name="display_value" queryTableFieldId="4" dataDxfId="41"/>
    <tableColumn id="15" xr3:uid="{A1C03127-7BC8-4F5B-A257-49DE5FD0404C}" uniqueName="15" name="value" queryTableFieldId="5" dataDxfId="55"/>
    <tableColumn id="16" xr3:uid="{388267EB-6A24-48A6-B252-1347B1A96269}" uniqueName="16" name="unit" queryTableFieldId="6" dataDxfId="54"/>
    <tableColumn id="17" xr3:uid="{E65122E6-1554-43D3-896B-D89A9036BF82}" uniqueName="17" name="definition" queryTableFieldId="7" dataDxfId="53"/>
    <tableColumn id="18" xr3:uid="{4B3F323E-3E90-4C08-BA63-968A88CF4241}" uniqueName="18" name="as_of_date" queryTableFieldId="8" dataDxfId="40"/>
    <tableColumn id="19" xr3:uid="{5476B37D-5FF7-4C12-937A-0CC9DB5F9176}" uniqueName="19" name="window_start" queryTableFieldId="9" dataDxfId="39"/>
    <tableColumn id="20" xr3:uid="{0B15CF34-C781-4F99-8CCB-7EA44B955F2E}" uniqueName="20" name="window_end" queryTableFieldId="10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A4D42C-45D5-4459-B022-2B983821A111}" name="tblRouteDiagnosis" displayName="tblRouteDiagnosis" ref="A4:Q121" tableType="queryTable" totalsRowShown="0">
  <autoFilter ref="A4:Q121" xr:uid="{C7A4D42C-45D5-4459-B022-2B983821A111}"/>
  <tableColumns count="17">
    <tableColumn id="18" xr3:uid="{7C305164-1A20-4805-9C33-D59CDC35B2A6}" uniqueName="18" name="route" queryTableFieldId="1" dataDxfId="52"/>
    <tableColumn id="19" xr3:uid="{A0AD5518-C313-473D-A154-F0DCFC9FA002}" uniqueName="19" name="origin_state" queryTableFieldId="2" dataDxfId="51"/>
    <tableColumn id="20" xr3:uid="{C4C883F4-056D-447B-B119-48FD2FED6526}" uniqueName="20" name="destination_state" queryTableFieldId="3" dataDxfId="50"/>
    <tableColumn id="21" xr3:uid="{E516AC3F-74E8-406B-978B-6FA02CA45771}" uniqueName="21" name="is_interstate" queryTableFieldId="4"/>
    <tableColumn id="22" xr3:uid="{DD475A91-C215-4089-AFAD-3BFAC3680D77}" uniqueName="22" name="delivered_orders" queryTableFieldId="5" dataDxfId="37"/>
    <tableColumn id="23" xr3:uid="{2016772F-E8F0-4CF2-811A-FDE9CEE73088}" uniqueName="23" name="late_orders" queryTableFieldId="6" dataDxfId="36"/>
    <tableColumn id="24" xr3:uid="{AA1C9FD4-F175-415C-B887-3BC9F7D184F4}" uniqueName="24" name="late_rate" queryTableFieldId="7" dataDxfId="35"/>
    <tableColumn id="25" xr3:uid="{3056B091-BA36-463A-A1AA-86D0965CB0B2}" uniqueName="25" name="late_rate_vs_overall" queryTableFieldId="8" dataDxfId="34"/>
    <tableColumn id="26" xr3:uid="{8BE3D742-C7C4-4D6B-B266-95BF1D53D422}" uniqueName="26" name="median_delivery_days" queryTableFieldId="9"/>
    <tableColumn id="27" xr3:uid="{BEEB1360-D2E9-4460-8E35-A8754E96B823}" uniqueName="27" name="product_value" queryTableFieldId="10" dataDxfId="33"/>
    <tableColumn id="28" xr3:uid="{3928029C-2116-491B-A5A9-A311917D7584}" uniqueName="28" name="meets_min_sample" queryTableFieldId="11"/>
    <tableColumn id="29" xr3:uid="{C03DD5A4-32AD-4DAA-BBB2-7CA262D440E9}" uniqueName="29" name="sample_note" queryTableFieldId="12" dataDxfId="49"/>
    <tableColumn id="30" xr3:uid="{2CBB9178-5622-4F1E-805B-3ACD3D2A1712}" uniqueName="30" name="late_rate_rank" queryTableFieldId="13"/>
    <tableColumn id="31" xr3:uid="{EDDA49A1-81E1-4D99-850D-54890428900C}" uniqueName="31" name="min_route_sample" queryTableFieldId="14"/>
    <tableColumn id="32" xr3:uid="{839997B2-5565-4453-98DC-3CCFE609E801}" uniqueName="32" name="as_of_date" queryTableFieldId="15" dataDxfId="32"/>
    <tableColumn id="33" xr3:uid="{6279910A-F94D-43AF-8934-2DE7197FE7DE}" uniqueName="33" name="window_start" queryTableFieldId="16" dataDxfId="31"/>
    <tableColumn id="34" xr3:uid="{B1094A02-F179-418B-ACE1-CAE29C84B1BF}" uniqueName="34" name="window_end" queryTableFieldId="17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B1781A-9355-4340-A95E-DA985EA7AC3D}" name="tblExceptions" displayName="tblExceptions" ref="A4:AA606" tableType="queryTable" totalsRowShown="0">
  <autoFilter ref="A4:AA606" xr:uid="{E1B1781A-9355-4340-A95E-DA985EA7AC3D}"/>
  <tableColumns count="27">
    <tableColumn id="28" xr3:uid="{0401D49A-A1C4-4335-B5B2-87BF9CA76622}" uniqueName="28" name="priority_rank" queryTableFieldId="1"/>
    <tableColumn id="29" xr3:uid="{639EA52D-C73E-4215-A43C-8CD06170B044}" uniqueName="29" name="priority" queryTableFieldId="2" dataDxfId="27"/>
    <tableColumn id="30" xr3:uid="{B5216E4E-206E-4973-8718-D6766070BF32}" uniqueName="30" name="exception_type" queryTableFieldId="3" dataDxfId="26"/>
    <tableColumn id="31" xr3:uid="{CD4F9FB6-E84C-409D-AE66-C2DE4D9EA5F4}" uniqueName="31" name="rule_id" queryTableFieldId="4" dataDxfId="25"/>
    <tableColumn id="32" xr3:uid="{5FF28915-053A-40E3-B896-501CF7F5DCD9}" uniqueName="32" name="rule_reason" queryTableFieldId="5" dataDxfId="24"/>
    <tableColumn id="33" xr3:uid="{67A531EA-0598-4472-85B3-AD10B40DF60B}" uniqueName="33" name="order_id" queryTableFieldId="6" dataDxfId="23"/>
    <tableColumn id="34" xr3:uid="{9C50B87B-491F-440F-9990-6A7686B03387}" uniqueName="34" name="purchase_date" queryTableFieldId="7" dataDxfId="22"/>
    <tableColumn id="35" xr3:uid="{F5A22CFC-1239-441C-AF87-522C235D0A9B}" uniqueName="35" name="estimated_delivery_date" queryTableFieldId="8" dataDxfId="21"/>
    <tableColumn id="36" xr3:uid="{B9B207AE-6E3A-4739-B178-3EC360AF75B9}" uniqueName="36" name="days_overdue" queryTableFieldId="9"/>
    <tableColumn id="37" xr3:uid="{204C4A6E-D604-4D47-BA3C-D69CCADA09E6}" uniqueName="37" name="ship_by_date" queryTableFieldId="10" dataDxfId="20"/>
    <tableColumn id="38" xr3:uid="{6FDD352F-A414-47EF-B929-EFE80AD84A2F}" uniqueName="38" name="approved_by_cutoff" queryTableFieldId="11"/>
    <tableColumn id="39" xr3:uid="{6E321EE3-4D31-497E-84AA-9648ABB5DB72}" uniqueName="39" name="carrier_handover_date" queryTableFieldId="12" dataDxfId="19"/>
    <tableColumn id="40" xr3:uid="{79BA4152-54BB-4632-BEDB-B7E6BDE9B6E2}" uniqueName="40" name="became_overdue_this_window" queryTableFieldId="13"/>
    <tableColumn id="41" xr3:uid="{FCBB9C91-B657-42EE-B0CD-A2B042765C01}" uniqueName="41" name="n_items" queryTableFieldId="14"/>
    <tableColumn id="42" xr3:uid="{2B392730-67CA-4DFE-87EB-79BBF87F36FA}" uniqueName="42" name="n_sellers" queryTableFieldId="15"/>
    <tableColumn id="43" xr3:uid="{66D24CD2-4878-4DA3-AC0D-58BD4D7DDBE9}" uniqueName="43" name="seller_id" queryTableFieldId="16" dataDxfId="18"/>
    <tableColumn id="44" xr3:uid="{651CF8B1-DF6D-4A66-9414-F3CBAC6C153C}" uniqueName="44" name="seller_attribution" queryTableFieldId="17" dataDxfId="17"/>
    <tableColumn id="45" xr3:uid="{92DDD533-3CA3-4ED2-842E-22980C8ADB09}" uniqueName="45" name="origin_states" queryTableFieldId="18" dataDxfId="16"/>
    <tableColumn id="46" xr3:uid="{E189BC6E-96B2-4EFE-B243-596A3318FB01}" uniqueName="46" name="customer_state" queryTableFieldId="19" dataDxfId="15"/>
    <tableColumn id="47" xr3:uid="{5C6FDD12-A0DB-443C-A5EF-346441404AA1}" uniqueName="47" name="product_value" queryTableFieldId="20" dataDxfId="14"/>
    <tableColumn id="48" xr3:uid="{08ADC62D-AC7F-4E45-8D4A-0347AE4F46E6}" uniqueName="48" name="freight_value" queryTableFieldId="21" dataDxfId="13"/>
    <tableColumn id="49" xr3:uid="{3C005713-2A98-44A9-B0D2-F3E61248A2F4}" uniqueName="49" name="payment_value" queryTableFieldId="22" dataDxfId="12"/>
    <tableColumn id="50" xr3:uid="{DAD37075-5F21-43B5-BDF5-21DADE4629A1}" uniqueName="50" name="evidence" queryTableFieldId="23" dataDxfId="11"/>
    <tableColumn id="51" xr3:uid="{C68A08E2-BC3C-491D-AB0A-E8EA93B282A2}" uniqueName="51" name="suggested_action" queryTableFieldId="24" dataDxfId="10"/>
    <tableColumn id="52" xr3:uid="{A79AE75D-AC7A-4B81-9B97-ED9C3809285B}" uniqueName="52" name="as_of_date" queryTableFieldId="25" dataDxfId="9"/>
    <tableColumn id="53" xr3:uid="{A5BAF22F-9B10-4F15-B85A-26080309EF0B}" uniqueName="53" name="window_start" queryTableFieldId="26" dataDxfId="8"/>
    <tableColumn id="54" xr3:uid="{6C9E43BB-C33F-4539-B9A8-1C39175B7213}" uniqueName="54" name="window_end" queryTableFieldId="27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D4AE00-4967-4634-B768-DA10DA7168C8}" name="tblReconciliation" displayName="tblReconciliation" ref="A4:M19" tableType="queryTable" totalsRowShown="0">
  <autoFilter ref="A4:M19" xr:uid="{07D4AE00-4967-4634-B768-DA10DA7168C8}"/>
  <tableColumns count="13">
    <tableColumn id="14" xr3:uid="{B740ADAB-3C14-4849-A2C3-69325653855E}" uniqueName="14" name="check_order" queryTableFieldId="1"/>
    <tableColumn id="15" xr3:uid="{3FB71726-9437-4AA1-BCED-9AD88BEA06E5}" uniqueName="15" name="check_name" queryTableFieldId="2" dataDxfId="48"/>
    <tableColumn id="16" xr3:uid="{4429813C-69A1-4E32-9ADD-10247D5A41E8}" uniqueName="16" name="source_a" queryTableFieldId="3" dataDxfId="47"/>
    <tableColumn id="17" xr3:uid="{9033A5EB-356E-495D-9B57-93BD80079F3E}" uniqueName="17" name="value_a" queryTableFieldId="4" dataDxfId="6"/>
    <tableColumn id="18" xr3:uid="{137AE2EF-1F47-4141-9D18-A59FBA3E80E8}" uniqueName="18" name="source_b" queryTableFieldId="5" dataDxfId="46"/>
    <tableColumn id="19" xr3:uid="{43A857F2-FCF0-42C4-A4C9-08B32D252F3D}" uniqueName="19" name="value_b" queryTableFieldId="6" dataDxfId="5"/>
    <tableColumn id="20" xr3:uid="{DA72160E-0307-4F0A-BB31-9F4548D2C64D}" uniqueName="20" name="difference" queryTableFieldId="7" dataDxfId="4"/>
    <tableColumn id="21" xr3:uid="{96B78341-6B61-4A4C-A4B0-3E7FA9DCFABB}" uniqueName="21" name="expected_difference" queryTableFieldId="8" dataDxfId="3"/>
    <tableColumn id="22" xr3:uid="{4B363294-3D74-40F3-A8FE-89756B8CFA98}" uniqueName="22" name="status" queryTableFieldId="9" dataDxfId="45"/>
    <tableColumn id="23" xr3:uid="{E6EF1B0D-163E-49CF-9DCD-B0732DA333B4}" uniqueName="23" name="note" queryTableFieldId="10" dataDxfId="44"/>
    <tableColumn id="24" xr3:uid="{8E7FF0DE-C3E6-419C-9796-4C49AC82D81D}" uniqueName="24" name="as_of_date" queryTableFieldId="11" dataDxfId="2"/>
    <tableColumn id="25" xr3:uid="{2EF2ED53-CF9D-498B-896B-F72B67E32410}" uniqueName="25" name="window_start" queryTableFieldId="12" dataDxfId="1"/>
    <tableColumn id="26" xr3:uid="{2AC3D253-C2FD-4ED2-8A40-4EC14F9A5810}" uniqueName="26" name="window_end" queryTableFieldId="13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8F58EF-7541-4164-BABE-E7B37A24528F}" name="tblRunInfo" displayName="tblRunInfo" ref="A4:B23" tableType="queryTable" totalsRowShown="0">
  <autoFilter ref="A4:B23" xr:uid="{688F58EF-7541-4164-BABE-E7B37A24528F}"/>
  <tableColumns count="2">
    <tableColumn id="3" xr3:uid="{0ADBC41F-9154-4556-897D-9DD6A2AD5F10}" uniqueName="3" name="item" queryTableFieldId="1" dataDxfId="43"/>
    <tableColumn id="4" xr3:uid="{AC758E5E-679F-4DD3-8104-5803AB3DB9D0}" uniqueName="4" name="value" queryTableFieldId="2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E4B3-1808-4F4A-9E4A-3297CFD1C42C}">
  <dimension ref="A1:B40"/>
  <sheetViews>
    <sheetView tabSelected="1" workbookViewId="0"/>
  </sheetViews>
  <sheetFormatPr defaultRowHeight="13.5" x14ac:dyDescent="0.25"/>
  <cols>
    <col min="1" max="1" width="34.69921875" customWidth="1"/>
    <col min="2" max="2" width="120.69921875" customWidth="1"/>
  </cols>
  <sheetData>
    <row r="1" spans="1:2" ht="19.5" x14ac:dyDescent="0.25">
      <c r="A1" s="2" t="s">
        <v>0</v>
      </c>
      <c r="B1" s="3"/>
    </row>
    <row r="2" spans="1:2" x14ac:dyDescent="0.25">
      <c r="A2" s="4" t="s">
        <v>1</v>
      </c>
      <c r="B2" s="3"/>
    </row>
    <row r="3" spans="1:2" x14ac:dyDescent="0.25">
      <c r="A3" s="5"/>
      <c r="B3" s="3"/>
    </row>
    <row r="4" spans="1:2" ht="15" x14ac:dyDescent="0.25">
      <c r="A4" s="6" t="s">
        <v>2</v>
      </c>
      <c r="B4" s="3"/>
    </row>
    <row r="5" spans="1:2" x14ac:dyDescent="0.25">
      <c r="A5" s="7" t="s">
        <v>3</v>
      </c>
      <c r="B5" s="8" t="s">
        <v>4</v>
      </c>
    </row>
    <row r="6" spans="1:2" x14ac:dyDescent="0.25">
      <c r="A6" s="5" t="s">
        <v>5</v>
      </c>
      <c r="B6" s="9">
        <f ca="1">LEFT(CELL("filename",A1),FIND("[",CELL("filename",A1))-1)&amp;"..\output\weekly\latest\"</f>
      </c>
    </row>
    <row r="7" spans="1:2" x14ac:dyDescent="0.25">
      <c r="A7" s="5"/>
      <c r="B7" s="10" t="s">
        <v>6</v>
      </c>
    </row>
    <row r="8" spans="1:2" x14ac:dyDescent="0.25">
      <c r="A8" s="5" t="s">
        <v>7</v>
      </c>
      <c r="B8" s="3" t="str">
        <f>IFERROR(INDEX(tblRunInfo[value],MATCH("Cut-off date (as_of_date)",tblRunInfo[item],0)),"(not loaded - Refresh All)")</f>
        <v>2018-03-18</v>
      </c>
    </row>
    <row r="9" spans="1:2" x14ac:dyDescent="0.25">
      <c r="A9" s="5" t="s">
        <v>8</v>
      </c>
      <c r="B9" s="3" t="str">
        <f>IFERROR(INDEX(tblRunInfo[value],MATCH("Window start (inclusive)",tblRunInfo[item],0))&amp;" to "&amp;INDEX(tblRunInfo[value],MATCH("Window end (inclusive)",tblRunInfo[item],0))&amp;" (both inclusive)","")</f>
        <v>2018-03-12 to 2018-03-18 (both inclusive)</v>
      </c>
    </row>
    <row r="10" spans="1:2" x14ac:dyDescent="0.25">
      <c r="A10" s="5" t="s">
        <v>9</v>
      </c>
      <c r="B10" s="3" t="str">
        <f>IFERROR(INDEX(tblRunInfo[value],MATCH("Run ID",tblRunInfo[item],0)),"")</f>
        <v>2018-03-18_20261020T210500</v>
      </c>
    </row>
    <row r="11" spans="1:2" x14ac:dyDescent="0.25">
      <c r="A11" s="5" t="s">
        <v>10</v>
      </c>
      <c r="B11" s="3" t="str">
        <f>IFERROR(COUNTIF(tblReconciliation[status],"PASS")&amp;" of "&amp;ROWS(tblReconciliation[status])&amp;" checks PASS","")</f>
        <v>15 of 15 checks PASS</v>
      </c>
    </row>
    <row r="12" spans="1:2" x14ac:dyDescent="0.25">
      <c r="A12" s="5"/>
      <c r="B12" s="3"/>
    </row>
    <row r="13" spans="1:2" ht="15" x14ac:dyDescent="0.25">
      <c r="A13" s="6" t="s">
        <v>11</v>
      </c>
      <c r="B13" s="3"/>
    </row>
    <row r="14" spans="1:2" x14ac:dyDescent="0.25">
      <c r="A14" s="5">
        <v>1</v>
      </c>
      <c r="B14" s="3" t="s">
        <v>12</v>
      </c>
    </row>
    <row r="15" spans="1:2" x14ac:dyDescent="0.25">
      <c r="A15" s="5">
        <v>2</v>
      </c>
      <c r="B15" s="3" t="s">
        <v>13</v>
      </c>
    </row>
    <row r="16" spans="1:2" x14ac:dyDescent="0.25">
      <c r="A16" s="5">
        <v>3</v>
      </c>
      <c r="B16" s="3" t="s">
        <v>14</v>
      </c>
    </row>
    <row r="17" spans="1:2" x14ac:dyDescent="0.25">
      <c r="A17" s="5"/>
      <c r="B17" s="3"/>
    </row>
    <row r="18" spans="1:2" ht="15" x14ac:dyDescent="0.25">
      <c r="A18" s="6" t="s">
        <v>15</v>
      </c>
      <c r="B18" s="3"/>
    </row>
    <row r="19" spans="1:2" ht="27" x14ac:dyDescent="0.25">
      <c r="A19" s="5" t="s">
        <v>16</v>
      </c>
      <c r="B19" s="3" t="s">
        <v>17</v>
      </c>
    </row>
    <row r="20" spans="1:2" x14ac:dyDescent="0.25">
      <c r="A20" s="5" t="s">
        <v>18</v>
      </c>
      <c r="B20" s="3" t="s">
        <v>19</v>
      </c>
    </row>
    <row r="21" spans="1:2" x14ac:dyDescent="0.25">
      <c r="A21" s="5" t="s">
        <v>20</v>
      </c>
      <c r="B21" s="3" t="s">
        <v>21</v>
      </c>
    </row>
    <row r="22" spans="1:2" x14ac:dyDescent="0.25">
      <c r="A22" s="5" t="s">
        <v>22</v>
      </c>
      <c r="B22" s="3" t="s">
        <v>23</v>
      </c>
    </row>
    <row r="23" spans="1:2" x14ac:dyDescent="0.25">
      <c r="A23" s="5" t="s">
        <v>24</v>
      </c>
      <c r="B23" s="3" t="s">
        <v>25</v>
      </c>
    </row>
    <row r="24" spans="1:2" x14ac:dyDescent="0.25">
      <c r="A24" s="5" t="s">
        <v>26</v>
      </c>
      <c r="B24" s="3" t="s">
        <v>27</v>
      </c>
    </row>
    <row r="25" spans="1:2" x14ac:dyDescent="0.25">
      <c r="A25" s="5" t="s">
        <v>28</v>
      </c>
      <c r="B25" s="3" t="s">
        <v>29</v>
      </c>
    </row>
    <row r="26" spans="1:2" x14ac:dyDescent="0.25">
      <c r="A26" s="5"/>
      <c r="B26" s="3"/>
    </row>
    <row r="27" spans="1:2" ht="15" x14ac:dyDescent="0.25">
      <c r="A27" s="6" t="s">
        <v>30</v>
      </c>
      <c r="B27" s="3"/>
    </row>
    <row r="28" spans="1:2" x14ac:dyDescent="0.25">
      <c r="A28" s="5" t="s">
        <v>31</v>
      </c>
      <c r="B28" s="3" t="s">
        <v>32</v>
      </c>
    </row>
    <row r="29" spans="1:2" x14ac:dyDescent="0.25">
      <c r="A29" s="5" t="s">
        <v>33</v>
      </c>
      <c r="B29" s="3" t="s">
        <v>34</v>
      </c>
    </row>
    <row r="30" spans="1:2" x14ac:dyDescent="0.25">
      <c r="A30" s="5" t="s">
        <v>24</v>
      </c>
      <c r="B30" s="3" t="s">
        <v>35</v>
      </c>
    </row>
    <row r="31" spans="1:2" x14ac:dyDescent="0.25">
      <c r="A31" s="5" t="s">
        <v>36</v>
      </c>
      <c r="B31" s="3" t="s">
        <v>37</v>
      </c>
    </row>
    <row r="32" spans="1:2" x14ac:dyDescent="0.25">
      <c r="A32" s="5" t="s">
        <v>10</v>
      </c>
      <c r="B32" s="3" t="s">
        <v>38</v>
      </c>
    </row>
    <row r="33" spans="1:2" x14ac:dyDescent="0.25">
      <c r="A33" s="5" t="s">
        <v>39</v>
      </c>
      <c r="B33" s="3" t="s">
        <v>40</v>
      </c>
    </row>
    <row r="34" spans="1:2" x14ac:dyDescent="0.25">
      <c r="A34" s="5"/>
      <c r="B34" s="3"/>
    </row>
    <row r="35" spans="1:2" x14ac:dyDescent="0.25">
      <c r="A35" s="5"/>
      <c r="B35" s="3"/>
    </row>
    <row r="36" spans="1:2" x14ac:dyDescent="0.25">
      <c r="A36" s="5"/>
      <c r="B36" s="3"/>
    </row>
    <row r="37" spans="1:2" x14ac:dyDescent="0.25">
      <c r="A37" s="5"/>
      <c r="B37" s="3"/>
    </row>
    <row r="38" spans="1:2" x14ac:dyDescent="0.25">
      <c r="A38" s="5"/>
      <c r="B38" s="3"/>
    </row>
    <row r="39" spans="1:2" x14ac:dyDescent="0.25">
      <c r="A39" s="5"/>
      <c r="B39" s="3"/>
    </row>
    <row r="40" spans="1:2" x14ac:dyDescent="0.25">
      <c r="A40" s="5"/>
      <c r="B40" s="3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2311-3C57-4E03-93ED-24D958E3FAB0}">
  <dimension ref="A1:J26"/>
  <sheetViews>
    <sheetView workbookViewId="0">
      <pane ySplit="4" topLeftCell="A5" activePane="bottomLeft" state="frozen"/>
      <selection pane="bottomLeft" activeCell="A5" sqref="A5"/>
    </sheetView>
  </sheetViews>
  <sheetFormatPr defaultRowHeight="13.5" x14ac:dyDescent="0.25"/>
  <cols>
    <col min="1" max="1" width="16" bestFit="1" customWidth="1"/>
    <col min="2" max="2" width="32.69921875" customWidth="1"/>
    <col min="3" max="3" width="31.796875" bestFit="1" customWidth="1"/>
    <col min="4" max="4" width="18.69921875" customWidth="1"/>
    <col min="5" max="5" width="10.3984375" bestFit="1" customWidth="1"/>
    <col min="6" max="6" width="7.5" bestFit="1" customWidth="1"/>
    <col min="7" max="7" width="70.69921875" customWidth="1"/>
    <col min="8" max="8" width="13.796875" bestFit="1" customWidth="1"/>
    <col min="9" max="9" width="16.59765625" bestFit="1" customWidth="1"/>
    <col min="10" max="10" width="15.69921875" bestFit="1" customWidth="1"/>
  </cols>
  <sheetData>
    <row r="1" spans="1:10" ht="17.5" x14ac:dyDescent="0.25">
      <c r="A1" s="11" t="s">
        <v>31</v>
      </c>
    </row>
    <row r="2" spans="1:10" x14ac:dyDescent="0.25">
      <c r="A2" s="1" t="s">
        <v>41</v>
      </c>
    </row>
    <row r="4" spans="1:10" x14ac:dyDescent="0.25">
      <c r="A4" t="s">
        <v>42</v>
      </c>
      <c r="B4" t="s">
        <v>43</v>
      </c>
      <c r="C4" t="s">
        <v>44</v>
      </c>
      <c r="D4" s="17" t="s">
        <v>45</v>
      </c>
      <c r="E4" t="s">
        <v>46</v>
      </c>
      <c r="F4" t="s">
        <v>47</v>
      </c>
      <c r="G4" t="s">
        <v>48</v>
      </c>
      <c r="H4" s="12" t="s">
        <v>49</v>
      </c>
      <c r="I4" s="12" t="s">
        <v>50</v>
      </c>
      <c r="J4" s="12" t="s">
        <v>51</v>
      </c>
    </row>
    <row r="5" spans="1:10" x14ac:dyDescent="0.25">
      <c r="A5">
        <v>1</v>
      </c>
      <c r="B5" t="s">
        <v>52</v>
      </c>
      <c r="C5" t="s">
        <v>53</v>
      </c>
      <c r="D5" s="17" t="s">
        <v>854</v>
      </c>
      <c r="E5">
        <v>1595</v>
      </c>
      <c r="F5" t="s">
        <v>54</v>
      </c>
      <c r="G5" t="s">
        <v>55</v>
      </c>
      <c r="H5" s="12">
        <v>43177</v>
      </c>
      <c r="I5" s="12">
        <v>43171</v>
      </c>
      <c r="J5" s="12">
        <v>43177</v>
      </c>
    </row>
    <row r="6" spans="1:10" x14ac:dyDescent="0.25">
      <c r="A6">
        <v>2</v>
      </c>
      <c r="B6" t="s">
        <v>52</v>
      </c>
      <c r="C6" t="s">
        <v>56</v>
      </c>
      <c r="D6" s="17" t="s">
        <v>855</v>
      </c>
      <c r="E6">
        <v>1590</v>
      </c>
      <c r="F6" t="s">
        <v>54</v>
      </c>
      <c r="G6" t="s">
        <v>57</v>
      </c>
      <c r="H6" s="12">
        <v>43177</v>
      </c>
      <c r="I6" s="12">
        <v>43171</v>
      </c>
      <c r="J6" s="12">
        <v>43177</v>
      </c>
    </row>
    <row r="7" spans="1:10" x14ac:dyDescent="0.25">
      <c r="A7">
        <v>3</v>
      </c>
      <c r="B7" t="s">
        <v>52</v>
      </c>
      <c r="C7" t="s">
        <v>58</v>
      </c>
      <c r="D7" s="17" t="s">
        <v>856</v>
      </c>
      <c r="E7">
        <v>1804</v>
      </c>
      <c r="F7" t="s">
        <v>59</v>
      </c>
      <c r="G7" t="s">
        <v>60</v>
      </c>
      <c r="H7" s="12">
        <v>43177</v>
      </c>
      <c r="I7" s="12">
        <v>43171</v>
      </c>
      <c r="J7" s="12">
        <v>43177</v>
      </c>
    </row>
    <row r="8" spans="1:10" x14ac:dyDescent="0.25">
      <c r="A8">
        <v>4</v>
      </c>
      <c r="B8" t="s">
        <v>52</v>
      </c>
      <c r="C8" t="s">
        <v>61</v>
      </c>
      <c r="D8" s="17" t="s">
        <v>857</v>
      </c>
      <c r="E8">
        <v>218589.17</v>
      </c>
      <c r="F8" t="s">
        <v>62</v>
      </c>
      <c r="G8" t="s">
        <v>63</v>
      </c>
      <c r="H8" s="12">
        <v>43177</v>
      </c>
      <c r="I8" s="12">
        <v>43171</v>
      </c>
      <c r="J8" s="12">
        <v>43177</v>
      </c>
    </row>
    <row r="9" spans="1:10" x14ac:dyDescent="0.25">
      <c r="A9">
        <v>5</v>
      </c>
      <c r="B9" t="s">
        <v>52</v>
      </c>
      <c r="C9" t="s">
        <v>64</v>
      </c>
      <c r="D9" s="17" t="s">
        <v>858</v>
      </c>
      <c r="E9">
        <v>38122.5</v>
      </c>
      <c r="F9" t="s">
        <v>62</v>
      </c>
      <c r="G9" t="s">
        <v>65</v>
      </c>
      <c r="H9" s="12">
        <v>43177</v>
      </c>
      <c r="I9" s="12">
        <v>43171</v>
      </c>
      <c r="J9" s="12">
        <v>43177</v>
      </c>
    </row>
    <row r="10" spans="1:10" x14ac:dyDescent="0.25">
      <c r="A10">
        <v>6</v>
      </c>
      <c r="B10" t="s">
        <v>52</v>
      </c>
      <c r="C10" t="s">
        <v>66</v>
      </c>
      <c r="D10" s="17" t="s">
        <v>859</v>
      </c>
      <c r="E10">
        <v>257300.03</v>
      </c>
      <c r="F10" t="s">
        <v>62</v>
      </c>
      <c r="G10" t="s">
        <v>67</v>
      </c>
      <c r="H10" s="12">
        <v>43177</v>
      </c>
      <c r="I10" s="12">
        <v>43171</v>
      </c>
      <c r="J10" s="12">
        <v>43177</v>
      </c>
    </row>
    <row r="11" spans="1:10" x14ac:dyDescent="0.25">
      <c r="A11">
        <v>7</v>
      </c>
      <c r="B11" t="s">
        <v>68</v>
      </c>
      <c r="C11" t="s">
        <v>69</v>
      </c>
      <c r="D11" s="17" t="s">
        <v>860</v>
      </c>
      <c r="E11">
        <v>1483</v>
      </c>
      <c r="F11" t="s">
        <v>54</v>
      </c>
      <c r="G11" t="s">
        <v>70</v>
      </c>
      <c r="H11" s="12">
        <v>43177</v>
      </c>
      <c r="I11" s="12">
        <v>43171</v>
      </c>
      <c r="J11" s="12">
        <v>43177</v>
      </c>
    </row>
    <row r="12" spans="1:10" x14ac:dyDescent="0.25">
      <c r="A12">
        <v>8</v>
      </c>
      <c r="B12" t="s">
        <v>68</v>
      </c>
      <c r="C12" t="s">
        <v>71</v>
      </c>
      <c r="D12" s="17" t="s">
        <v>861</v>
      </c>
      <c r="E12">
        <v>182</v>
      </c>
      <c r="F12" t="s">
        <v>54</v>
      </c>
      <c r="G12" t="s">
        <v>72</v>
      </c>
      <c r="H12" s="12">
        <v>43177</v>
      </c>
      <c r="I12" s="12">
        <v>43171</v>
      </c>
      <c r="J12" s="12">
        <v>43177</v>
      </c>
    </row>
    <row r="13" spans="1:10" x14ac:dyDescent="0.25">
      <c r="A13">
        <v>9</v>
      </c>
      <c r="B13" t="s">
        <v>68</v>
      </c>
      <c r="C13" t="s">
        <v>73</v>
      </c>
      <c r="D13" s="17" t="s">
        <v>862</v>
      </c>
      <c r="E13">
        <v>0.1227</v>
      </c>
      <c r="F13" t="s">
        <v>74</v>
      </c>
      <c r="G13" t="s">
        <v>75</v>
      </c>
      <c r="H13" s="12">
        <v>43177</v>
      </c>
      <c r="I13" s="12">
        <v>43171</v>
      </c>
      <c r="J13" s="12">
        <v>43177</v>
      </c>
    </row>
    <row r="14" spans="1:10" x14ac:dyDescent="0.25">
      <c r="A14">
        <v>10</v>
      </c>
      <c r="B14" t="s">
        <v>68</v>
      </c>
      <c r="C14" t="s">
        <v>76</v>
      </c>
      <c r="D14" s="17" t="s">
        <v>77</v>
      </c>
      <c r="E14">
        <v>14</v>
      </c>
      <c r="F14" t="s">
        <v>78</v>
      </c>
      <c r="G14" t="s">
        <v>79</v>
      </c>
      <c r="H14" s="12">
        <v>43177</v>
      </c>
      <c r="I14" s="12">
        <v>43171</v>
      </c>
      <c r="J14" s="12">
        <v>43177</v>
      </c>
    </row>
    <row r="15" spans="1:10" x14ac:dyDescent="0.25">
      <c r="A15">
        <v>11</v>
      </c>
      <c r="B15" t="s">
        <v>68</v>
      </c>
      <c r="C15" t="s">
        <v>80</v>
      </c>
      <c r="D15" s="17" t="s">
        <v>863</v>
      </c>
      <c r="E15">
        <v>4</v>
      </c>
      <c r="F15" t="s">
        <v>78</v>
      </c>
      <c r="G15" t="s">
        <v>81</v>
      </c>
      <c r="H15" s="12">
        <v>43177</v>
      </c>
      <c r="I15" s="12">
        <v>43171</v>
      </c>
      <c r="J15" s="12">
        <v>43177</v>
      </c>
    </row>
    <row r="16" spans="1:10" x14ac:dyDescent="0.25">
      <c r="A16">
        <v>12</v>
      </c>
      <c r="B16" t="s">
        <v>82</v>
      </c>
      <c r="C16" t="s">
        <v>22</v>
      </c>
      <c r="D16" s="17" t="s">
        <v>864</v>
      </c>
      <c r="E16">
        <v>6327</v>
      </c>
      <c r="F16" t="s">
        <v>54</v>
      </c>
      <c r="G16" t="s">
        <v>83</v>
      </c>
      <c r="H16" s="12">
        <v>43177</v>
      </c>
      <c r="I16" s="12">
        <v>43171</v>
      </c>
      <c r="J16" s="12">
        <v>43177</v>
      </c>
    </row>
    <row r="17" spans="1:10" x14ac:dyDescent="0.25">
      <c r="A17">
        <v>13</v>
      </c>
      <c r="B17" t="s">
        <v>82</v>
      </c>
      <c r="C17" t="s">
        <v>84</v>
      </c>
      <c r="D17" s="17" t="s">
        <v>865</v>
      </c>
      <c r="E17">
        <v>3913</v>
      </c>
      <c r="F17" t="s">
        <v>54</v>
      </c>
      <c r="G17" t="s">
        <v>85</v>
      </c>
      <c r="H17" s="12">
        <v>43177</v>
      </c>
      <c r="I17" s="12">
        <v>43171</v>
      </c>
      <c r="J17" s="12">
        <v>43177</v>
      </c>
    </row>
    <row r="18" spans="1:10" x14ac:dyDescent="0.25">
      <c r="A18">
        <v>14</v>
      </c>
      <c r="B18" t="s">
        <v>82</v>
      </c>
      <c r="C18" t="s">
        <v>86</v>
      </c>
      <c r="D18" s="17" t="s">
        <v>866</v>
      </c>
      <c r="E18">
        <v>529</v>
      </c>
      <c r="F18" t="s">
        <v>54</v>
      </c>
      <c r="G18" t="s">
        <v>87</v>
      </c>
      <c r="H18" s="12">
        <v>43177</v>
      </c>
      <c r="I18" s="12">
        <v>43171</v>
      </c>
      <c r="J18" s="12">
        <v>43177</v>
      </c>
    </row>
    <row r="19" spans="1:10" x14ac:dyDescent="0.25">
      <c r="A19">
        <v>15</v>
      </c>
      <c r="B19" t="s">
        <v>82</v>
      </c>
      <c r="C19" t="s">
        <v>88</v>
      </c>
      <c r="D19" s="17" t="s">
        <v>867</v>
      </c>
      <c r="E19">
        <v>295</v>
      </c>
      <c r="F19" t="s">
        <v>54</v>
      </c>
      <c r="G19" t="s">
        <v>89</v>
      </c>
      <c r="H19" s="12">
        <v>43177</v>
      </c>
      <c r="I19" s="12">
        <v>43171</v>
      </c>
      <c r="J19" s="12">
        <v>43177</v>
      </c>
    </row>
    <row r="20" spans="1:10" x14ac:dyDescent="0.25">
      <c r="A20">
        <v>16</v>
      </c>
      <c r="B20" t="s">
        <v>82</v>
      </c>
      <c r="C20" t="s">
        <v>90</v>
      </c>
      <c r="D20" s="17" t="s">
        <v>868</v>
      </c>
      <c r="E20">
        <v>1885</v>
      </c>
      <c r="F20" t="s">
        <v>54</v>
      </c>
      <c r="G20" t="s">
        <v>91</v>
      </c>
      <c r="H20" s="12">
        <v>43177</v>
      </c>
      <c r="I20" s="12">
        <v>43171</v>
      </c>
      <c r="J20" s="12">
        <v>43177</v>
      </c>
    </row>
    <row r="21" spans="1:10" x14ac:dyDescent="0.25">
      <c r="A21">
        <v>17</v>
      </c>
      <c r="B21" t="s">
        <v>92</v>
      </c>
      <c r="C21" t="s">
        <v>93</v>
      </c>
      <c r="D21" s="17" t="s">
        <v>869</v>
      </c>
      <c r="E21">
        <v>602</v>
      </c>
      <c r="F21" t="s">
        <v>54</v>
      </c>
      <c r="G21" t="s">
        <v>94</v>
      </c>
      <c r="H21" s="12">
        <v>43177</v>
      </c>
      <c r="I21" s="12">
        <v>43171</v>
      </c>
      <c r="J21" s="12">
        <v>43177</v>
      </c>
    </row>
    <row r="22" spans="1:10" x14ac:dyDescent="0.25">
      <c r="A22">
        <v>18</v>
      </c>
      <c r="B22" t="s">
        <v>92</v>
      </c>
      <c r="C22" t="s">
        <v>95</v>
      </c>
      <c r="D22" s="17" t="s">
        <v>870</v>
      </c>
      <c r="E22">
        <v>234</v>
      </c>
      <c r="F22" t="s">
        <v>54</v>
      </c>
      <c r="G22" t="s">
        <v>96</v>
      </c>
      <c r="H22" s="12">
        <v>43177</v>
      </c>
      <c r="I22" s="12">
        <v>43171</v>
      </c>
      <c r="J22" s="12">
        <v>43177</v>
      </c>
    </row>
    <row r="23" spans="1:10" x14ac:dyDescent="0.25">
      <c r="A23">
        <v>19</v>
      </c>
      <c r="B23" t="s">
        <v>92</v>
      </c>
      <c r="C23" t="s">
        <v>97</v>
      </c>
      <c r="D23" s="17" t="s">
        <v>871</v>
      </c>
      <c r="E23">
        <v>204</v>
      </c>
      <c r="F23" t="s">
        <v>54</v>
      </c>
      <c r="G23" t="s">
        <v>98</v>
      </c>
      <c r="H23" s="12">
        <v>43177</v>
      </c>
      <c r="I23" s="12">
        <v>43171</v>
      </c>
      <c r="J23" s="12">
        <v>43177</v>
      </c>
    </row>
    <row r="24" spans="1:10" x14ac:dyDescent="0.25">
      <c r="A24">
        <v>20</v>
      </c>
      <c r="B24" t="s">
        <v>92</v>
      </c>
      <c r="C24" t="s">
        <v>99</v>
      </c>
      <c r="D24" s="17" t="s">
        <v>872</v>
      </c>
      <c r="E24">
        <v>91</v>
      </c>
      <c r="F24" t="s">
        <v>54</v>
      </c>
      <c r="G24" t="s">
        <v>100</v>
      </c>
      <c r="H24" s="12">
        <v>43177</v>
      </c>
      <c r="I24" s="12">
        <v>43171</v>
      </c>
      <c r="J24" s="12">
        <v>43177</v>
      </c>
    </row>
    <row r="25" spans="1:10" x14ac:dyDescent="0.25">
      <c r="A25">
        <v>21</v>
      </c>
      <c r="B25" t="s">
        <v>92</v>
      </c>
      <c r="C25" t="s">
        <v>101</v>
      </c>
      <c r="D25" s="17" t="s">
        <v>873</v>
      </c>
      <c r="E25">
        <v>73</v>
      </c>
      <c r="F25" t="s">
        <v>54</v>
      </c>
      <c r="G25" t="s">
        <v>102</v>
      </c>
      <c r="H25" s="12">
        <v>43177</v>
      </c>
      <c r="I25" s="12">
        <v>43171</v>
      </c>
      <c r="J25" s="12">
        <v>43177</v>
      </c>
    </row>
    <row r="26" spans="1:10" x14ac:dyDescent="0.25">
      <c r="A26">
        <v>22</v>
      </c>
      <c r="B26" t="s">
        <v>92</v>
      </c>
      <c r="C26" t="s">
        <v>103</v>
      </c>
      <c r="D26" s="17" t="s">
        <v>874</v>
      </c>
      <c r="E26">
        <v>83189.63</v>
      </c>
      <c r="F26" t="s">
        <v>62</v>
      </c>
      <c r="G26" t="s">
        <v>104</v>
      </c>
      <c r="H26" s="12">
        <v>43177</v>
      </c>
      <c r="I26" s="12">
        <v>43171</v>
      </c>
      <c r="J26" s="12">
        <v>43177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4C95-D4CD-4843-98CE-7AB5BB1947C2}">
  <dimension ref="A1:Q121"/>
  <sheetViews>
    <sheetView workbookViewId="0">
      <pane ySplit="4" topLeftCell="A5" activePane="bottomLeft" state="frozen"/>
      <selection pane="bottomLeft" activeCell="A5" sqref="A5"/>
    </sheetView>
  </sheetViews>
  <sheetFormatPr defaultRowHeight="13.5" x14ac:dyDescent="0.25"/>
  <cols>
    <col min="1" max="1" width="16.5" bestFit="1" customWidth="1"/>
    <col min="2" max="2" width="15" bestFit="1" customWidth="1"/>
    <col min="3" max="3" width="20" bestFit="1" customWidth="1"/>
    <col min="4" max="4" width="15.3984375" bestFit="1" customWidth="1"/>
    <col min="5" max="5" width="19.796875" bestFit="1" customWidth="1"/>
    <col min="6" max="6" width="14.19921875" bestFit="1" customWidth="1"/>
    <col min="7" max="7" width="11.8984375" bestFit="1" customWidth="1"/>
    <col min="8" max="8" width="23.3984375" bestFit="1" customWidth="1"/>
    <col min="9" max="9" width="25.296875" bestFit="1" customWidth="1"/>
    <col min="10" max="10" width="17.19921875" bestFit="1" customWidth="1"/>
    <col min="11" max="11" width="22.09765625" bestFit="1" customWidth="1"/>
    <col min="12" max="12" width="30.69921875" bestFit="1" customWidth="1"/>
    <col min="13" max="13" width="17.3984375" bestFit="1" customWidth="1"/>
    <col min="14" max="14" width="21.3984375" bestFit="1" customWidth="1"/>
    <col min="15" max="15" width="13.796875" bestFit="1" customWidth="1"/>
    <col min="16" max="16" width="16.59765625" bestFit="1" customWidth="1"/>
    <col min="17" max="17" width="15.69921875" bestFit="1" customWidth="1"/>
  </cols>
  <sheetData>
    <row r="1" spans="1:17" ht="17.5" x14ac:dyDescent="0.25">
      <c r="A1" s="11" t="s">
        <v>33</v>
      </c>
    </row>
    <row r="2" spans="1:17" x14ac:dyDescent="0.25">
      <c r="A2" s="1" t="s">
        <v>105</v>
      </c>
    </row>
    <row r="4" spans="1:17" x14ac:dyDescent="0.25">
      <c r="A4" t="s">
        <v>106</v>
      </c>
      <c r="B4" t="s">
        <v>107</v>
      </c>
      <c r="C4" t="s">
        <v>108</v>
      </c>
      <c r="D4" t="s">
        <v>109</v>
      </c>
      <c r="E4" s="13" t="s">
        <v>110</v>
      </c>
      <c r="F4" s="13" t="s">
        <v>111</v>
      </c>
      <c r="G4" s="14" t="s">
        <v>112</v>
      </c>
      <c r="H4" s="15" t="s">
        <v>113</v>
      </c>
      <c r="I4" t="s">
        <v>114</v>
      </c>
      <c r="J4" s="16" t="s">
        <v>115</v>
      </c>
      <c r="K4" t="s">
        <v>116</v>
      </c>
      <c r="L4" t="s">
        <v>117</v>
      </c>
      <c r="M4" t="s">
        <v>118</v>
      </c>
      <c r="N4" t="s">
        <v>119</v>
      </c>
      <c r="O4" s="12" t="s">
        <v>49</v>
      </c>
      <c r="P4" s="12" t="s">
        <v>50</v>
      </c>
      <c r="Q4" s="12" t="s">
        <v>51</v>
      </c>
    </row>
    <row r="5" spans="1:17" x14ac:dyDescent="0.25">
      <c r="A5" t="s">
        <v>120</v>
      </c>
      <c r="B5" t="s">
        <v>121</v>
      </c>
      <c r="C5" t="s">
        <v>122</v>
      </c>
      <c r="D5" t="b">
        <v>1</v>
      </c>
      <c r="E5" s="13">
        <v>93</v>
      </c>
      <c r="F5" s="13">
        <v>41</v>
      </c>
      <c r="G5" s="14">
        <v>0.44090000000000001</v>
      </c>
      <c r="H5" s="15">
        <v>0.31809999999999999</v>
      </c>
      <c r="I5">
        <v>20</v>
      </c>
      <c r="J5" s="16">
        <v>11357.07</v>
      </c>
      <c r="K5" t="b">
        <v>1</v>
      </c>
      <c r="L5" t="s">
        <v>123</v>
      </c>
      <c r="M5">
        <v>1</v>
      </c>
      <c r="N5">
        <v>30</v>
      </c>
      <c r="O5" s="12">
        <v>43177</v>
      </c>
      <c r="P5" s="12">
        <v>43171</v>
      </c>
      <c r="Q5" s="12">
        <v>43177</v>
      </c>
    </row>
    <row r="6" spans="1:17" x14ac:dyDescent="0.25">
      <c r="A6" t="s">
        <v>124</v>
      </c>
      <c r="B6" t="s">
        <v>121</v>
      </c>
      <c r="C6" t="s">
        <v>125</v>
      </c>
      <c r="D6" t="b">
        <v>1</v>
      </c>
      <c r="E6" s="13">
        <v>39</v>
      </c>
      <c r="F6" s="13">
        <v>9</v>
      </c>
      <c r="G6" s="14">
        <v>0.23080000000000001</v>
      </c>
      <c r="H6" s="15">
        <v>0.108</v>
      </c>
      <c r="I6">
        <v>21</v>
      </c>
      <c r="J6" s="16">
        <v>5178.29</v>
      </c>
      <c r="K6" t="b">
        <v>1</v>
      </c>
      <c r="L6" t="s">
        <v>123</v>
      </c>
      <c r="M6">
        <v>2</v>
      </c>
      <c r="N6">
        <v>30</v>
      </c>
      <c r="O6" s="12">
        <v>43177</v>
      </c>
      <c r="P6" s="12">
        <v>43171</v>
      </c>
      <c r="Q6" s="12">
        <v>43177</v>
      </c>
    </row>
    <row r="7" spans="1:17" x14ac:dyDescent="0.25">
      <c r="A7" t="s">
        <v>126</v>
      </c>
      <c r="B7" t="s">
        <v>121</v>
      </c>
      <c r="C7" t="s">
        <v>127</v>
      </c>
      <c r="D7" t="b">
        <v>1</v>
      </c>
      <c r="E7" s="13">
        <v>36</v>
      </c>
      <c r="F7" s="13">
        <v>8</v>
      </c>
      <c r="G7" s="14">
        <v>0.22220000000000001</v>
      </c>
      <c r="H7" s="15">
        <v>9.9500000000000005E-2</v>
      </c>
      <c r="I7">
        <v>21</v>
      </c>
      <c r="J7" s="16">
        <v>4346.17</v>
      </c>
      <c r="K7" t="b">
        <v>1</v>
      </c>
      <c r="L7" t="s">
        <v>123</v>
      </c>
      <c r="M7">
        <v>3</v>
      </c>
      <c r="N7">
        <v>30</v>
      </c>
      <c r="O7" s="12">
        <v>43177</v>
      </c>
      <c r="P7" s="12">
        <v>43171</v>
      </c>
      <c r="Q7" s="12">
        <v>43177</v>
      </c>
    </row>
    <row r="8" spans="1:17" x14ac:dyDescent="0.25">
      <c r="A8" t="s">
        <v>128</v>
      </c>
      <c r="B8" t="s">
        <v>121</v>
      </c>
      <c r="C8" t="s">
        <v>129</v>
      </c>
      <c r="D8" t="b">
        <v>1</v>
      </c>
      <c r="E8" s="13">
        <v>41</v>
      </c>
      <c r="F8" s="13">
        <v>8</v>
      </c>
      <c r="G8" s="14">
        <v>0.1951</v>
      </c>
      <c r="H8" s="15">
        <v>7.2400000000000006E-2</v>
      </c>
      <c r="I8">
        <v>22</v>
      </c>
      <c r="J8" s="16">
        <v>6057.82</v>
      </c>
      <c r="K8" t="b">
        <v>1</v>
      </c>
      <c r="L8" t="s">
        <v>123</v>
      </c>
      <c r="M8">
        <v>4</v>
      </c>
      <c r="N8">
        <v>30</v>
      </c>
      <c r="O8" s="12">
        <v>43177</v>
      </c>
      <c r="P8" s="12">
        <v>43171</v>
      </c>
      <c r="Q8" s="12">
        <v>43177</v>
      </c>
    </row>
    <row r="9" spans="1:17" x14ac:dyDescent="0.25">
      <c r="A9" t="s">
        <v>130</v>
      </c>
      <c r="B9" t="s">
        <v>131</v>
      </c>
      <c r="C9" t="s">
        <v>121</v>
      </c>
      <c r="D9" t="b">
        <v>1</v>
      </c>
      <c r="E9" s="13">
        <v>35</v>
      </c>
      <c r="F9" s="13">
        <v>5</v>
      </c>
      <c r="G9" s="14">
        <v>0.1429</v>
      </c>
      <c r="H9" s="15">
        <v>2.01E-2</v>
      </c>
      <c r="I9">
        <v>13</v>
      </c>
      <c r="J9" s="16">
        <v>5946.05</v>
      </c>
      <c r="K9" t="b">
        <v>1</v>
      </c>
      <c r="L9" t="s">
        <v>123</v>
      </c>
      <c r="M9">
        <v>5</v>
      </c>
      <c r="N9">
        <v>30</v>
      </c>
      <c r="O9" s="12">
        <v>43177</v>
      </c>
      <c r="P9" s="12">
        <v>43171</v>
      </c>
      <c r="Q9" s="12">
        <v>43177</v>
      </c>
    </row>
    <row r="10" spans="1:17" x14ac:dyDescent="0.25">
      <c r="A10" t="s">
        <v>132</v>
      </c>
      <c r="B10" t="s">
        <v>121</v>
      </c>
      <c r="C10" t="s">
        <v>133</v>
      </c>
      <c r="D10" t="b">
        <v>1</v>
      </c>
      <c r="E10" s="13">
        <v>33</v>
      </c>
      <c r="F10" s="13">
        <v>4</v>
      </c>
      <c r="G10" s="14">
        <v>0.1212</v>
      </c>
      <c r="H10" s="15">
        <v>-1.5E-3</v>
      </c>
      <c r="I10">
        <v>15</v>
      </c>
      <c r="J10" s="16">
        <v>3428.46</v>
      </c>
      <c r="K10" t="b">
        <v>1</v>
      </c>
      <c r="L10" t="s">
        <v>123</v>
      </c>
      <c r="M10">
        <v>6</v>
      </c>
      <c r="N10">
        <v>30</v>
      </c>
      <c r="O10" s="12">
        <v>43177</v>
      </c>
      <c r="P10" s="12">
        <v>43171</v>
      </c>
      <c r="Q10" s="12">
        <v>43177</v>
      </c>
    </row>
    <row r="11" spans="1:17" x14ac:dyDescent="0.25">
      <c r="A11" t="s">
        <v>134</v>
      </c>
      <c r="B11" t="s">
        <v>121</v>
      </c>
      <c r="C11" t="s">
        <v>135</v>
      </c>
      <c r="D11" t="b">
        <v>1</v>
      </c>
      <c r="E11" s="13">
        <v>59</v>
      </c>
      <c r="F11" s="13">
        <v>7</v>
      </c>
      <c r="G11" s="14">
        <v>0.1186</v>
      </c>
      <c r="H11" s="15">
        <v>-4.1000000000000003E-3</v>
      </c>
      <c r="I11">
        <v>14</v>
      </c>
      <c r="J11" s="16">
        <v>7531.84</v>
      </c>
      <c r="K11" t="b">
        <v>1</v>
      </c>
      <c r="L11" t="s">
        <v>123</v>
      </c>
      <c r="M11">
        <v>7</v>
      </c>
      <c r="N11">
        <v>30</v>
      </c>
      <c r="O11" s="12">
        <v>43177</v>
      </c>
      <c r="P11" s="12">
        <v>43171</v>
      </c>
      <c r="Q11" s="12">
        <v>43177</v>
      </c>
    </row>
    <row r="12" spans="1:17" x14ac:dyDescent="0.25">
      <c r="A12" t="s">
        <v>136</v>
      </c>
      <c r="B12" t="s">
        <v>121</v>
      </c>
      <c r="C12" t="s">
        <v>131</v>
      </c>
      <c r="D12" t="b">
        <v>1</v>
      </c>
      <c r="E12" s="13">
        <v>106</v>
      </c>
      <c r="F12" s="13">
        <v>11</v>
      </c>
      <c r="G12" s="14">
        <v>0.1038</v>
      </c>
      <c r="H12" s="15">
        <v>-1.9E-2</v>
      </c>
      <c r="I12">
        <v>15</v>
      </c>
      <c r="J12" s="16">
        <v>13982.97</v>
      </c>
      <c r="K12" t="b">
        <v>1</v>
      </c>
      <c r="L12" t="s">
        <v>123</v>
      </c>
      <c r="M12">
        <v>8</v>
      </c>
      <c r="N12">
        <v>30</v>
      </c>
      <c r="O12" s="12">
        <v>43177</v>
      </c>
      <c r="P12" s="12">
        <v>43171</v>
      </c>
      <c r="Q12" s="12">
        <v>43177</v>
      </c>
    </row>
    <row r="13" spans="1:17" x14ac:dyDescent="0.25">
      <c r="A13" t="s">
        <v>137</v>
      </c>
      <c r="B13" t="s">
        <v>121</v>
      </c>
      <c r="C13" t="s">
        <v>138</v>
      </c>
      <c r="D13" t="b">
        <v>1</v>
      </c>
      <c r="E13" s="13">
        <v>64</v>
      </c>
      <c r="F13" s="13">
        <v>6</v>
      </c>
      <c r="G13" s="14">
        <v>9.3799999999999994E-2</v>
      </c>
      <c r="H13" s="15">
        <v>-2.9000000000000001E-2</v>
      </c>
      <c r="I13">
        <v>19</v>
      </c>
      <c r="J13" s="16">
        <v>6536.05</v>
      </c>
      <c r="K13" t="b">
        <v>1</v>
      </c>
      <c r="L13" t="s">
        <v>123</v>
      </c>
      <c r="M13">
        <v>9</v>
      </c>
      <c r="N13">
        <v>30</v>
      </c>
      <c r="O13" s="12">
        <v>43177</v>
      </c>
      <c r="P13" s="12">
        <v>43171</v>
      </c>
      <c r="Q13" s="12">
        <v>43177</v>
      </c>
    </row>
    <row r="14" spans="1:17" x14ac:dyDescent="0.25">
      <c r="A14" t="s">
        <v>139</v>
      </c>
      <c r="B14" t="s">
        <v>121</v>
      </c>
      <c r="C14" t="s">
        <v>121</v>
      </c>
      <c r="D14" t="b">
        <v>0</v>
      </c>
      <c r="E14" s="13">
        <v>443</v>
      </c>
      <c r="F14" s="13">
        <v>41</v>
      </c>
      <c r="G14" s="14">
        <v>9.2600000000000002E-2</v>
      </c>
      <c r="H14" s="15">
        <v>-3.0200000000000001E-2</v>
      </c>
      <c r="I14">
        <v>8</v>
      </c>
      <c r="J14" s="16">
        <v>55141.99</v>
      </c>
      <c r="K14" t="b">
        <v>1</v>
      </c>
      <c r="L14" t="s">
        <v>123</v>
      </c>
      <c r="M14">
        <v>10</v>
      </c>
      <c r="N14">
        <v>30</v>
      </c>
      <c r="O14" s="12">
        <v>43177</v>
      </c>
      <c r="P14" s="12">
        <v>43171</v>
      </c>
      <c r="Q14" s="12">
        <v>43177</v>
      </c>
    </row>
    <row r="15" spans="1:17" x14ac:dyDescent="0.25">
      <c r="A15" t="s">
        <v>140</v>
      </c>
      <c r="B15" t="s">
        <v>135</v>
      </c>
      <c r="C15" t="s">
        <v>121</v>
      </c>
      <c r="D15" t="b">
        <v>1</v>
      </c>
      <c r="E15" s="13">
        <v>78</v>
      </c>
      <c r="F15" s="13">
        <v>3</v>
      </c>
      <c r="G15" s="14">
        <v>3.85E-2</v>
      </c>
      <c r="H15" s="15">
        <v>-8.43E-2</v>
      </c>
      <c r="I15">
        <v>14</v>
      </c>
      <c r="J15" s="16">
        <v>11225.89</v>
      </c>
      <c r="K15" t="b">
        <v>1</v>
      </c>
      <c r="L15" t="s">
        <v>123</v>
      </c>
      <c r="M15">
        <v>11</v>
      </c>
      <c r="N15">
        <v>30</v>
      </c>
      <c r="O15" s="12">
        <v>43177</v>
      </c>
      <c r="P15" s="12">
        <v>43171</v>
      </c>
      <c r="Q15" s="12">
        <v>43177</v>
      </c>
    </row>
    <row r="16" spans="1:17" x14ac:dyDescent="0.25">
      <c r="A16" t="s">
        <v>141</v>
      </c>
      <c r="B16" t="s">
        <v>135</v>
      </c>
      <c r="C16" t="s">
        <v>131</v>
      </c>
      <c r="D16" t="b">
        <v>1</v>
      </c>
      <c r="E16" s="13">
        <v>24</v>
      </c>
      <c r="F16" s="13">
        <v>0</v>
      </c>
      <c r="G16" s="14">
        <v>0</v>
      </c>
      <c r="H16" s="15">
        <v>-0.1227</v>
      </c>
      <c r="I16">
        <v>14</v>
      </c>
      <c r="J16" s="16">
        <v>2909.25</v>
      </c>
      <c r="K16" t="b">
        <v>0</v>
      </c>
      <c r="L16" t="s">
        <v>142</v>
      </c>
      <c r="N16">
        <v>30</v>
      </c>
      <c r="O16" s="12">
        <v>43177</v>
      </c>
      <c r="P16" s="12">
        <v>43171</v>
      </c>
      <c r="Q16" s="12">
        <v>43177</v>
      </c>
    </row>
    <row r="17" spans="1:17" x14ac:dyDescent="0.25">
      <c r="A17" t="s">
        <v>143</v>
      </c>
      <c r="B17" t="s">
        <v>125</v>
      </c>
      <c r="C17" t="s">
        <v>121</v>
      </c>
      <c r="D17" t="b">
        <v>1</v>
      </c>
      <c r="E17" s="13">
        <v>22</v>
      </c>
      <c r="F17" s="13">
        <v>2</v>
      </c>
      <c r="G17" s="14">
        <v>9.0899999999999995E-2</v>
      </c>
      <c r="H17" s="15">
        <v>-3.1800000000000002E-2</v>
      </c>
      <c r="I17">
        <v>14.5</v>
      </c>
      <c r="J17" s="16">
        <v>3081.68</v>
      </c>
      <c r="K17" t="b">
        <v>0</v>
      </c>
      <c r="L17" t="s">
        <v>142</v>
      </c>
      <c r="N17">
        <v>30</v>
      </c>
      <c r="O17" s="12">
        <v>43177</v>
      </c>
      <c r="P17" s="12">
        <v>43171</v>
      </c>
      <c r="Q17" s="12">
        <v>43177</v>
      </c>
    </row>
    <row r="18" spans="1:17" x14ac:dyDescent="0.25">
      <c r="A18" t="s">
        <v>144</v>
      </c>
      <c r="B18" t="s">
        <v>131</v>
      </c>
      <c r="C18" t="s">
        <v>131</v>
      </c>
      <c r="D18" t="b">
        <v>0</v>
      </c>
      <c r="E18" s="13">
        <v>18</v>
      </c>
      <c r="F18" s="13">
        <v>0</v>
      </c>
      <c r="G18" s="14">
        <v>0</v>
      </c>
      <c r="H18" s="15">
        <v>-0.1227</v>
      </c>
      <c r="I18">
        <v>7</v>
      </c>
      <c r="J18" s="16">
        <v>2009.63</v>
      </c>
      <c r="K18" t="b">
        <v>0</v>
      </c>
      <c r="L18" t="s">
        <v>142</v>
      </c>
      <c r="N18">
        <v>30</v>
      </c>
      <c r="O18" s="12">
        <v>43177</v>
      </c>
      <c r="P18" s="12">
        <v>43171</v>
      </c>
      <c r="Q18" s="12">
        <v>43177</v>
      </c>
    </row>
    <row r="19" spans="1:17" x14ac:dyDescent="0.25">
      <c r="A19" t="s">
        <v>145</v>
      </c>
      <c r="B19" t="s">
        <v>121</v>
      </c>
      <c r="C19" t="s">
        <v>146</v>
      </c>
      <c r="D19" t="b">
        <v>1</v>
      </c>
      <c r="E19" s="13">
        <v>18</v>
      </c>
      <c r="F19" s="13">
        <v>1</v>
      </c>
      <c r="G19" s="14">
        <v>5.5599999999999997E-2</v>
      </c>
      <c r="H19" s="15">
        <v>-6.7199999999999996E-2</v>
      </c>
      <c r="I19">
        <v>18</v>
      </c>
      <c r="J19" s="16">
        <v>1626.14</v>
      </c>
      <c r="K19" t="b">
        <v>0</v>
      </c>
      <c r="L19" t="s">
        <v>142</v>
      </c>
      <c r="N19">
        <v>30</v>
      </c>
      <c r="O19" s="12">
        <v>43177</v>
      </c>
      <c r="P19" s="12">
        <v>43171</v>
      </c>
      <c r="Q19" s="12">
        <v>43177</v>
      </c>
    </row>
    <row r="20" spans="1:17" x14ac:dyDescent="0.25">
      <c r="A20" t="s">
        <v>147</v>
      </c>
      <c r="B20" t="s">
        <v>121</v>
      </c>
      <c r="C20" t="s">
        <v>148</v>
      </c>
      <c r="D20" t="b">
        <v>1</v>
      </c>
      <c r="E20" s="13">
        <v>17</v>
      </c>
      <c r="F20" s="13">
        <v>2</v>
      </c>
      <c r="G20" s="14">
        <v>0.1176</v>
      </c>
      <c r="H20" s="15">
        <v>-5.1000000000000004E-3</v>
      </c>
      <c r="I20">
        <v>21</v>
      </c>
      <c r="J20" s="16">
        <v>2169.2199999999998</v>
      </c>
      <c r="K20" t="b">
        <v>0</v>
      </c>
      <c r="L20" t="s">
        <v>142</v>
      </c>
      <c r="N20">
        <v>30</v>
      </c>
      <c r="O20" s="12">
        <v>43177</v>
      </c>
      <c r="P20" s="12">
        <v>43171</v>
      </c>
      <c r="Q20" s="12">
        <v>43177</v>
      </c>
    </row>
    <row r="21" spans="1:17" x14ac:dyDescent="0.25">
      <c r="A21" t="s">
        <v>149</v>
      </c>
      <c r="B21" t="s">
        <v>135</v>
      </c>
      <c r="C21" t="s">
        <v>122</v>
      </c>
      <c r="D21" t="b">
        <v>1</v>
      </c>
      <c r="E21" s="13">
        <v>15</v>
      </c>
      <c r="F21" s="13">
        <v>4</v>
      </c>
      <c r="G21" s="14">
        <v>0.26669999999999999</v>
      </c>
      <c r="H21" s="15">
        <v>0.1439</v>
      </c>
      <c r="I21">
        <v>22</v>
      </c>
      <c r="J21" s="16">
        <v>2275.9899999999998</v>
      </c>
      <c r="K21" t="b">
        <v>0</v>
      </c>
      <c r="L21" t="s">
        <v>142</v>
      </c>
      <c r="N21">
        <v>30</v>
      </c>
      <c r="O21" s="12">
        <v>43177</v>
      </c>
      <c r="P21" s="12">
        <v>43171</v>
      </c>
      <c r="Q21" s="12">
        <v>43177</v>
      </c>
    </row>
    <row r="22" spans="1:17" x14ac:dyDescent="0.25">
      <c r="A22" t="s">
        <v>150</v>
      </c>
      <c r="B22" t="s">
        <v>135</v>
      </c>
      <c r="C22" t="s">
        <v>135</v>
      </c>
      <c r="D22" t="b">
        <v>0</v>
      </c>
      <c r="E22" s="13">
        <v>14</v>
      </c>
      <c r="F22" s="13">
        <v>0</v>
      </c>
      <c r="G22" s="14">
        <v>0</v>
      </c>
      <c r="H22" s="15">
        <v>-0.1227</v>
      </c>
      <c r="I22">
        <v>8.5</v>
      </c>
      <c r="J22" s="16">
        <v>1468.7</v>
      </c>
      <c r="K22" t="b">
        <v>0</v>
      </c>
      <c r="L22" t="s">
        <v>142</v>
      </c>
      <c r="N22">
        <v>30</v>
      </c>
      <c r="O22" s="12">
        <v>43177</v>
      </c>
      <c r="P22" s="12">
        <v>43171</v>
      </c>
      <c r="Q22" s="12">
        <v>43177</v>
      </c>
    </row>
    <row r="23" spans="1:17" x14ac:dyDescent="0.25">
      <c r="A23" t="s">
        <v>151</v>
      </c>
      <c r="B23" t="s">
        <v>121</v>
      </c>
      <c r="C23" t="s">
        <v>152</v>
      </c>
      <c r="D23" t="b">
        <v>1</v>
      </c>
      <c r="E23" s="13">
        <v>14</v>
      </c>
      <c r="F23" s="13">
        <v>1</v>
      </c>
      <c r="G23" s="14">
        <v>7.1400000000000005E-2</v>
      </c>
      <c r="H23" s="15">
        <v>-5.1299999999999998E-2</v>
      </c>
      <c r="I23">
        <v>21.5</v>
      </c>
      <c r="J23" s="16">
        <v>1601.63</v>
      </c>
      <c r="K23" t="b">
        <v>0</v>
      </c>
      <c r="L23" t="s">
        <v>142</v>
      </c>
      <c r="N23">
        <v>30</v>
      </c>
      <c r="O23" s="12">
        <v>43177</v>
      </c>
      <c r="P23" s="12">
        <v>43171</v>
      </c>
      <c r="Q23" s="12">
        <v>43177</v>
      </c>
    </row>
    <row r="24" spans="1:17" x14ac:dyDescent="0.25">
      <c r="A24" t="s">
        <v>153</v>
      </c>
      <c r="B24" t="s">
        <v>121</v>
      </c>
      <c r="C24" t="s">
        <v>154</v>
      </c>
      <c r="D24" t="b">
        <v>1</v>
      </c>
      <c r="E24" s="13">
        <v>14</v>
      </c>
      <c r="F24" s="13">
        <v>1</v>
      </c>
      <c r="G24" s="14">
        <v>7.1400000000000005E-2</v>
      </c>
      <c r="H24" s="15">
        <v>-5.1299999999999998E-2</v>
      </c>
      <c r="I24">
        <v>20</v>
      </c>
      <c r="J24" s="16">
        <v>1647.45</v>
      </c>
      <c r="K24" t="b">
        <v>0</v>
      </c>
      <c r="L24" t="s">
        <v>142</v>
      </c>
      <c r="N24">
        <v>30</v>
      </c>
      <c r="O24" s="12">
        <v>43177</v>
      </c>
      <c r="P24" s="12">
        <v>43171</v>
      </c>
      <c r="Q24" s="12">
        <v>43177</v>
      </c>
    </row>
    <row r="25" spans="1:17" x14ac:dyDescent="0.25">
      <c r="A25" t="s">
        <v>155</v>
      </c>
      <c r="B25" t="s">
        <v>121</v>
      </c>
      <c r="C25" t="s">
        <v>156</v>
      </c>
      <c r="D25" t="b">
        <v>1</v>
      </c>
      <c r="E25" s="13">
        <v>13</v>
      </c>
      <c r="F25" s="13">
        <v>0</v>
      </c>
      <c r="G25" s="14">
        <v>0</v>
      </c>
      <c r="H25" s="15">
        <v>-0.1227</v>
      </c>
      <c r="I25">
        <v>27</v>
      </c>
      <c r="J25" s="16">
        <v>2244.73</v>
      </c>
      <c r="K25" t="b">
        <v>0</v>
      </c>
      <c r="L25" t="s">
        <v>142</v>
      </c>
      <c r="N25">
        <v>30</v>
      </c>
      <c r="O25" s="12">
        <v>43177</v>
      </c>
      <c r="P25" s="12">
        <v>43171</v>
      </c>
      <c r="Q25" s="12">
        <v>43177</v>
      </c>
    </row>
    <row r="26" spans="1:17" x14ac:dyDescent="0.25">
      <c r="A26" t="s">
        <v>157</v>
      </c>
      <c r="B26" t="s">
        <v>131</v>
      </c>
      <c r="C26" t="s">
        <v>122</v>
      </c>
      <c r="D26" t="b">
        <v>1</v>
      </c>
      <c r="E26" s="13">
        <v>12</v>
      </c>
      <c r="F26" s="13">
        <v>2</v>
      </c>
      <c r="G26" s="14">
        <v>0.16669999999999999</v>
      </c>
      <c r="H26" s="15">
        <v>4.3900000000000002E-2</v>
      </c>
      <c r="I26">
        <v>14</v>
      </c>
      <c r="J26" s="16">
        <v>1312.48</v>
      </c>
      <c r="K26" t="b">
        <v>0</v>
      </c>
      <c r="L26" t="s">
        <v>142</v>
      </c>
      <c r="N26">
        <v>30</v>
      </c>
      <c r="O26" s="12">
        <v>43177</v>
      </c>
      <c r="P26" s="12">
        <v>43171</v>
      </c>
      <c r="Q26" s="12">
        <v>43177</v>
      </c>
    </row>
    <row r="27" spans="1:17" x14ac:dyDescent="0.25">
      <c r="A27" t="s">
        <v>158</v>
      </c>
      <c r="B27" t="s">
        <v>135</v>
      </c>
      <c r="C27" t="s">
        <v>138</v>
      </c>
      <c r="D27" t="b">
        <v>1</v>
      </c>
      <c r="E27" s="13">
        <v>12</v>
      </c>
      <c r="F27" s="13">
        <v>0</v>
      </c>
      <c r="G27" s="14">
        <v>0</v>
      </c>
      <c r="H27" s="15">
        <v>-0.1227</v>
      </c>
      <c r="I27">
        <v>12.5</v>
      </c>
      <c r="J27" s="16">
        <v>1462.23</v>
      </c>
      <c r="K27" t="b">
        <v>0</v>
      </c>
      <c r="L27" t="s">
        <v>142</v>
      </c>
      <c r="N27">
        <v>30</v>
      </c>
      <c r="O27" s="12">
        <v>43177</v>
      </c>
      <c r="P27" s="12">
        <v>43171</v>
      </c>
      <c r="Q27" s="12">
        <v>43177</v>
      </c>
    </row>
    <row r="28" spans="1:17" x14ac:dyDescent="0.25">
      <c r="A28" t="s">
        <v>159</v>
      </c>
      <c r="B28" t="s">
        <v>121</v>
      </c>
      <c r="C28" t="s">
        <v>160</v>
      </c>
      <c r="D28" t="b">
        <v>1</v>
      </c>
      <c r="E28" s="13">
        <v>11</v>
      </c>
      <c r="F28" s="13">
        <v>2</v>
      </c>
      <c r="G28" s="14">
        <v>0.18179999999999999</v>
      </c>
      <c r="H28" s="15">
        <v>5.91E-2</v>
      </c>
      <c r="I28">
        <v>22</v>
      </c>
      <c r="J28" s="16">
        <v>1060.5899999999999</v>
      </c>
      <c r="K28" t="b">
        <v>0</v>
      </c>
      <c r="L28" t="s">
        <v>142</v>
      </c>
      <c r="N28">
        <v>30</v>
      </c>
      <c r="O28" s="12">
        <v>43177</v>
      </c>
      <c r="P28" s="12">
        <v>43171</v>
      </c>
      <c r="Q28" s="12">
        <v>43177</v>
      </c>
    </row>
    <row r="29" spans="1:17" x14ac:dyDescent="0.25">
      <c r="A29" t="s">
        <v>161</v>
      </c>
      <c r="B29" t="s">
        <v>122</v>
      </c>
      <c r="C29" t="s">
        <v>122</v>
      </c>
      <c r="D29" t="b">
        <v>0</v>
      </c>
      <c r="E29" s="13">
        <v>10</v>
      </c>
      <c r="F29" s="13">
        <v>0</v>
      </c>
      <c r="G29" s="14">
        <v>0</v>
      </c>
      <c r="H29" s="15">
        <v>-0.1227</v>
      </c>
      <c r="I29">
        <v>4</v>
      </c>
      <c r="J29" s="16">
        <v>1707.37</v>
      </c>
      <c r="K29" t="b">
        <v>0</v>
      </c>
      <c r="L29" t="s">
        <v>142</v>
      </c>
      <c r="N29">
        <v>30</v>
      </c>
      <c r="O29" s="12">
        <v>43177</v>
      </c>
      <c r="P29" s="12">
        <v>43171</v>
      </c>
      <c r="Q29" s="12">
        <v>43177</v>
      </c>
    </row>
    <row r="30" spans="1:17" x14ac:dyDescent="0.25">
      <c r="A30" t="s">
        <v>162</v>
      </c>
      <c r="B30" t="s">
        <v>122</v>
      </c>
      <c r="C30" t="s">
        <v>121</v>
      </c>
      <c r="D30" t="b">
        <v>1</v>
      </c>
      <c r="E30" s="13">
        <v>10</v>
      </c>
      <c r="F30" s="13">
        <v>1</v>
      </c>
      <c r="G30" s="14">
        <v>0.1</v>
      </c>
      <c r="H30" s="15">
        <v>-2.2700000000000001E-2</v>
      </c>
      <c r="I30">
        <v>14.5</v>
      </c>
      <c r="J30" s="16">
        <v>959.29</v>
      </c>
      <c r="K30" t="b">
        <v>0</v>
      </c>
      <c r="L30" t="s">
        <v>142</v>
      </c>
      <c r="N30">
        <v>30</v>
      </c>
      <c r="O30" s="12">
        <v>43177</v>
      </c>
      <c r="P30" s="12">
        <v>43171</v>
      </c>
      <c r="Q30" s="12">
        <v>43177</v>
      </c>
    </row>
    <row r="31" spans="1:17" x14ac:dyDescent="0.25">
      <c r="A31" t="s">
        <v>163</v>
      </c>
      <c r="B31" t="s">
        <v>121</v>
      </c>
      <c r="C31" t="s">
        <v>164</v>
      </c>
      <c r="D31" t="b">
        <v>1</v>
      </c>
      <c r="E31" s="13">
        <v>10</v>
      </c>
      <c r="F31" s="13">
        <v>2</v>
      </c>
      <c r="G31" s="14">
        <v>0.2</v>
      </c>
      <c r="H31" s="15">
        <v>7.7299999999999994E-2</v>
      </c>
      <c r="I31">
        <v>19</v>
      </c>
      <c r="J31" s="16">
        <v>1649.47</v>
      </c>
      <c r="K31" t="b">
        <v>0</v>
      </c>
      <c r="L31" t="s">
        <v>142</v>
      </c>
      <c r="N31">
        <v>30</v>
      </c>
      <c r="O31" s="12">
        <v>43177</v>
      </c>
      <c r="P31" s="12">
        <v>43171</v>
      </c>
      <c r="Q31" s="12">
        <v>43177</v>
      </c>
    </row>
    <row r="32" spans="1:17" x14ac:dyDescent="0.25">
      <c r="A32" t="s">
        <v>165</v>
      </c>
      <c r="B32" t="s">
        <v>131</v>
      </c>
      <c r="C32" t="s">
        <v>138</v>
      </c>
      <c r="D32" t="b">
        <v>1</v>
      </c>
      <c r="E32" s="13">
        <v>8</v>
      </c>
      <c r="F32" s="13">
        <v>0</v>
      </c>
      <c r="G32" s="14">
        <v>0</v>
      </c>
      <c r="H32" s="15">
        <v>-0.1227</v>
      </c>
      <c r="I32">
        <v>14.5</v>
      </c>
      <c r="J32" s="16">
        <v>690.38</v>
      </c>
      <c r="K32" t="b">
        <v>0</v>
      </c>
      <c r="L32" t="s">
        <v>142</v>
      </c>
      <c r="N32">
        <v>30</v>
      </c>
      <c r="O32" s="12">
        <v>43177</v>
      </c>
      <c r="P32" s="12">
        <v>43171</v>
      </c>
      <c r="Q32" s="12">
        <v>43177</v>
      </c>
    </row>
    <row r="33" spans="1:17" x14ac:dyDescent="0.25">
      <c r="A33" t="s">
        <v>166</v>
      </c>
      <c r="B33" t="s">
        <v>135</v>
      </c>
      <c r="C33" t="s">
        <v>133</v>
      </c>
      <c r="D33" t="b">
        <v>1</v>
      </c>
      <c r="E33" s="13">
        <v>8</v>
      </c>
      <c r="F33" s="13">
        <v>1</v>
      </c>
      <c r="G33" s="14">
        <v>0.125</v>
      </c>
      <c r="H33" s="15">
        <v>2.3E-3</v>
      </c>
      <c r="I33">
        <v>20</v>
      </c>
      <c r="J33" s="16">
        <v>1116.78</v>
      </c>
      <c r="K33" t="b">
        <v>0</v>
      </c>
      <c r="L33" t="s">
        <v>142</v>
      </c>
      <c r="N33">
        <v>30</v>
      </c>
      <c r="O33" s="12">
        <v>43177</v>
      </c>
      <c r="P33" s="12">
        <v>43171</v>
      </c>
      <c r="Q33" s="12">
        <v>43177</v>
      </c>
    </row>
    <row r="34" spans="1:17" x14ac:dyDescent="0.25">
      <c r="A34" t="s">
        <v>167</v>
      </c>
      <c r="B34" t="s">
        <v>135</v>
      </c>
      <c r="C34" t="s">
        <v>125</v>
      </c>
      <c r="D34" t="b">
        <v>1</v>
      </c>
      <c r="E34" s="13">
        <v>8</v>
      </c>
      <c r="F34" s="13">
        <v>3</v>
      </c>
      <c r="G34" s="14">
        <v>0.375</v>
      </c>
      <c r="H34" s="15">
        <v>0.25230000000000002</v>
      </c>
      <c r="I34">
        <v>23.5</v>
      </c>
      <c r="J34" s="16">
        <v>1108.4000000000001</v>
      </c>
      <c r="K34" t="b">
        <v>0</v>
      </c>
      <c r="L34" t="s">
        <v>142</v>
      </c>
      <c r="N34">
        <v>30</v>
      </c>
      <c r="O34" s="12">
        <v>43177</v>
      </c>
      <c r="P34" s="12">
        <v>43171</v>
      </c>
      <c r="Q34" s="12">
        <v>43177</v>
      </c>
    </row>
    <row r="35" spans="1:17" x14ac:dyDescent="0.25">
      <c r="A35" t="s">
        <v>168</v>
      </c>
      <c r="B35" t="s">
        <v>138</v>
      </c>
      <c r="C35" t="s">
        <v>121</v>
      </c>
      <c r="D35" t="b">
        <v>1</v>
      </c>
      <c r="E35" s="13">
        <v>8</v>
      </c>
      <c r="F35" s="13">
        <v>0</v>
      </c>
      <c r="G35" s="14">
        <v>0</v>
      </c>
      <c r="H35" s="15">
        <v>-0.1227</v>
      </c>
      <c r="I35">
        <v>8.5</v>
      </c>
      <c r="J35" s="16">
        <v>1083.9100000000001</v>
      </c>
      <c r="K35" t="b">
        <v>0</v>
      </c>
      <c r="L35" t="s">
        <v>142</v>
      </c>
      <c r="N35">
        <v>30</v>
      </c>
      <c r="O35" s="12">
        <v>43177</v>
      </c>
      <c r="P35" s="12">
        <v>43171</v>
      </c>
      <c r="Q35" s="12">
        <v>43177</v>
      </c>
    </row>
    <row r="36" spans="1:17" x14ac:dyDescent="0.25">
      <c r="A36" t="s">
        <v>169</v>
      </c>
      <c r="B36" t="s">
        <v>125</v>
      </c>
      <c r="C36" t="s">
        <v>135</v>
      </c>
      <c r="D36" t="b">
        <v>1</v>
      </c>
      <c r="E36" s="13">
        <v>7</v>
      </c>
      <c r="F36" s="13">
        <v>0</v>
      </c>
      <c r="G36" s="14">
        <v>0</v>
      </c>
      <c r="H36" s="15">
        <v>-0.1227</v>
      </c>
      <c r="I36">
        <v>13</v>
      </c>
      <c r="J36" s="16">
        <v>3442.33</v>
      </c>
      <c r="K36" t="b">
        <v>0</v>
      </c>
      <c r="L36" t="s">
        <v>142</v>
      </c>
      <c r="N36">
        <v>30</v>
      </c>
      <c r="O36" s="12">
        <v>43177</v>
      </c>
      <c r="P36" s="12">
        <v>43171</v>
      </c>
      <c r="Q36" s="12">
        <v>43177</v>
      </c>
    </row>
    <row r="37" spans="1:17" x14ac:dyDescent="0.25">
      <c r="A37" t="s">
        <v>170</v>
      </c>
      <c r="B37" t="s">
        <v>131</v>
      </c>
      <c r="C37" t="s">
        <v>135</v>
      </c>
      <c r="D37" t="b">
        <v>1</v>
      </c>
      <c r="E37" s="13">
        <v>6</v>
      </c>
      <c r="F37" s="13">
        <v>1</v>
      </c>
      <c r="G37" s="14">
        <v>0.16669999999999999</v>
      </c>
      <c r="H37" s="15">
        <v>4.3900000000000002E-2</v>
      </c>
      <c r="I37">
        <v>16.5</v>
      </c>
      <c r="J37" s="16">
        <v>504.1</v>
      </c>
      <c r="K37" t="b">
        <v>0</v>
      </c>
      <c r="L37" t="s">
        <v>142</v>
      </c>
      <c r="N37">
        <v>30</v>
      </c>
      <c r="O37" s="12">
        <v>43177</v>
      </c>
      <c r="P37" s="12">
        <v>43171</v>
      </c>
      <c r="Q37" s="12">
        <v>43177</v>
      </c>
    </row>
    <row r="38" spans="1:17" x14ac:dyDescent="0.25">
      <c r="A38" t="s">
        <v>171</v>
      </c>
      <c r="B38" t="s">
        <v>172</v>
      </c>
      <c r="C38" t="s">
        <v>172</v>
      </c>
      <c r="E38" s="13">
        <v>6</v>
      </c>
      <c r="F38" s="13">
        <v>0</v>
      </c>
      <c r="G38" s="14">
        <v>0</v>
      </c>
      <c r="H38" s="15">
        <v>-0.1227</v>
      </c>
      <c r="I38">
        <v>13</v>
      </c>
      <c r="J38" s="16">
        <v>1141.02</v>
      </c>
      <c r="K38" t="b">
        <v>0</v>
      </c>
      <c r="L38" t="s">
        <v>173</v>
      </c>
      <c r="N38">
        <v>30</v>
      </c>
      <c r="O38" s="12">
        <v>43177</v>
      </c>
      <c r="P38" s="12">
        <v>43171</v>
      </c>
      <c r="Q38" s="12">
        <v>43177</v>
      </c>
    </row>
    <row r="39" spans="1:17" x14ac:dyDescent="0.25">
      <c r="A39" t="s">
        <v>174</v>
      </c>
      <c r="B39" t="s">
        <v>148</v>
      </c>
      <c r="C39" t="s">
        <v>121</v>
      </c>
      <c r="D39" t="b">
        <v>1</v>
      </c>
      <c r="E39" s="13">
        <v>6</v>
      </c>
      <c r="F39" s="13">
        <v>0</v>
      </c>
      <c r="G39" s="14">
        <v>0</v>
      </c>
      <c r="H39" s="15">
        <v>-0.1227</v>
      </c>
      <c r="I39">
        <v>12</v>
      </c>
      <c r="J39" s="16">
        <v>899.4</v>
      </c>
      <c r="K39" t="b">
        <v>0</v>
      </c>
      <c r="L39" t="s">
        <v>142</v>
      </c>
      <c r="N39">
        <v>30</v>
      </c>
      <c r="O39" s="12">
        <v>43177</v>
      </c>
      <c r="P39" s="12">
        <v>43171</v>
      </c>
      <c r="Q39" s="12">
        <v>43177</v>
      </c>
    </row>
    <row r="40" spans="1:17" x14ac:dyDescent="0.25">
      <c r="A40" t="s">
        <v>175</v>
      </c>
      <c r="B40" t="s">
        <v>135</v>
      </c>
      <c r="C40" t="s">
        <v>127</v>
      </c>
      <c r="D40" t="b">
        <v>1</v>
      </c>
      <c r="E40" s="13">
        <v>6</v>
      </c>
      <c r="F40" s="13">
        <v>1</v>
      </c>
      <c r="G40" s="14">
        <v>0.16669999999999999</v>
      </c>
      <c r="H40" s="15">
        <v>4.3900000000000002E-2</v>
      </c>
      <c r="I40">
        <v>16</v>
      </c>
      <c r="J40" s="16">
        <v>1863.64</v>
      </c>
      <c r="K40" t="b">
        <v>0</v>
      </c>
      <c r="L40" t="s">
        <v>142</v>
      </c>
      <c r="N40">
        <v>30</v>
      </c>
      <c r="O40" s="12">
        <v>43177</v>
      </c>
      <c r="P40" s="12">
        <v>43171</v>
      </c>
      <c r="Q40" s="12">
        <v>43177</v>
      </c>
    </row>
    <row r="41" spans="1:17" x14ac:dyDescent="0.25">
      <c r="A41" t="s">
        <v>176</v>
      </c>
      <c r="B41" t="s">
        <v>125</v>
      </c>
      <c r="C41" t="s">
        <v>122</v>
      </c>
      <c r="D41" t="b">
        <v>1</v>
      </c>
      <c r="E41" s="13">
        <v>6</v>
      </c>
      <c r="F41" s="13">
        <v>1</v>
      </c>
      <c r="G41" s="14">
        <v>0.16669999999999999</v>
      </c>
      <c r="H41" s="15">
        <v>4.3900000000000002E-2</v>
      </c>
      <c r="I41">
        <v>19.5</v>
      </c>
      <c r="J41" s="16">
        <v>1012.69</v>
      </c>
      <c r="K41" t="b">
        <v>0</v>
      </c>
      <c r="L41" t="s">
        <v>142</v>
      </c>
      <c r="N41">
        <v>30</v>
      </c>
      <c r="O41" s="12">
        <v>43177</v>
      </c>
      <c r="P41" s="12">
        <v>43171</v>
      </c>
      <c r="Q41" s="12">
        <v>43177</v>
      </c>
    </row>
    <row r="42" spans="1:17" x14ac:dyDescent="0.25">
      <c r="A42" t="s">
        <v>177</v>
      </c>
      <c r="B42" t="s">
        <v>121</v>
      </c>
      <c r="C42" t="s">
        <v>178</v>
      </c>
      <c r="D42" t="b">
        <v>1</v>
      </c>
      <c r="E42" s="13">
        <v>6</v>
      </c>
      <c r="F42" s="13">
        <v>2</v>
      </c>
      <c r="G42" s="14">
        <v>0.33329999999999999</v>
      </c>
      <c r="H42" s="15">
        <v>0.21060000000000001</v>
      </c>
      <c r="I42">
        <v>23.5</v>
      </c>
      <c r="J42" s="16">
        <v>539.85</v>
      </c>
      <c r="K42" t="b">
        <v>0</v>
      </c>
      <c r="L42" t="s">
        <v>142</v>
      </c>
      <c r="N42">
        <v>30</v>
      </c>
      <c r="O42" s="12">
        <v>43177</v>
      </c>
      <c r="P42" s="12">
        <v>43171</v>
      </c>
      <c r="Q42" s="12">
        <v>43177</v>
      </c>
    </row>
    <row r="43" spans="1:17" x14ac:dyDescent="0.25">
      <c r="A43" t="s">
        <v>179</v>
      </c>
      <c r="B43" t="s">
        <v>122</v>
      </c>
      <c r="C43" t="s">
        <v>131</v>
      </c>
      <c r="D43" t="b">
        <v>1</v>
      </c>
      <c r="E43" s="13">
        <v>5</v>
      </c>
      <c r="F43" s="13">
        <v>1</v>
      </c>
      <c r="G43" s="14">
        <v>0.2</v>
      </c>
      <c r="H43" s="15">
        <v>7.7299999999999994E-2</v>
      </c>
      <c r="I43">
        <v>11</v>
      </c>
      <c r="J43" s="16">
        <v>417.06</v>
      </c>
      <c r="K43" t="b">
        <v>0</v>
      </c>
      <c r="L43" t="s">
        <v>142</v>
      </c>
      <c r="N43">
        <v>30</v>
      </c>
      <c r="O43" s="12">
        <v>43177</v>
      </c>
      <c r="P43" s="12">
        <v>43171</v>
      </c>
      <c r="Q43" s="12">
        <v>43177</v>
      </c>
    </row>
    <row r="44" spans="1:17" x14ac:dyDescent="0.25">
      <c r="A44" t="s">
        <v>180</v>
      </c>
      <c r="B44" t="s">
        <v>125</v>
      </c>
      <c r="C44" t="s">
        <v>125</v>
      </c>
      <c r="D44" t="b">
        <v>0</v>
      </c>
      <c r="E44" s="13">
        <v>5</v>
      </c>
      <c r="F44" s="13">
        <v>1</v>
      </c>
      <c r="G44" s="14">
        <v>0.2</v>
      </c>
      <c r="H44" s="15">
        <v>7.7299999999999994E-2</v>
      </c>
      <c r="I44">
        <v>6</v>
      </c>
      <c r="J44" s="16">
        <v>626.20000000000005</v>
      </c>
      <c r="K44" t="b">
        <v>0</v>
      </c>
      <c r="L44" t="s">
        <v>142</v>
      </c>
      <c r="N44">
        <v>30</v>
      </c>
      <c r="O44" s="12">
        <v>43177</v>
      </c>
      <c r="P44" s="12">
        <v>43171</v>
      </c>
      <c r="Q44" s="12">
        <v>43177</v>
      </c>
    </row>
    <row r="45" spans="1:17" x14ac:dyDescent="0.25">
      <c r="A45" t="s">
        <v>181</v>
      </c>
      <c r="B45" t="s">
        <v>121</v>
      </c>
      <c r="C45" t="s">
        <v>182</v>
      </c>
      <c r="D45" t="b">
        <v>1</v>
      </c>
      <c r="E45" s="13">
        <v>5</v>
      </c>
      <c r="F45" s="13">
        <v>0</v>
      </c>
      <c r="G45" s="14">
        <v>0</v>
      </c>
      <c r="H45" s="15">
        <v>-0.1227</v>
      </c>
      <c r="I45">
        <v>21</v>
      </c>
      <c r="J45" s="16">
        <v>791.69</v>
      </c>
      <c r="K45" t="b">
        <v>0</v>
      </c>
      <c r="L45" t="s">
        <v>142</v>
      </c>
      <c r="N45">
        <v>30</v>
      </c>
      <c r="O45" s="12">
        <v>43177</v>
      </c>
      <c r="P45" s="12">
        <v>43171</v>
      </c>
      <c r="Q45" s="12">
        <v>43177</v>
      </c>
    </row>
    <row r="46" spans="1:17" x14ac:dyDescent="0.25">
      <c r="A46" t="s">
        <v>183</v>
      </c>
      <c r="B46" t="s">
        <v>121</v>
      </c>
      <c r="C46" t="s">
        <v>184</v>
      </c>
      <c r="D46" t="b">
        <v>1</v>
      </c>
      <c r="E46" s="13">
        <v>5</v>
      </c>
      <c r="F46" s="13">
        <v>2</v>
      </c>
      <c r="G46" s="14">
        <v>0.4</v>
      </c>
      <c r="H46" s="15">
        <v>0.27729999999999999</v>
      </c>
      <c r="I46">
        <v>17</v>
      </c>
      <c r="J46" s="16">
        <v>503.68</v>
      </c>
      <c r="K46" t="b">
        <v>0</v>
      </c>
      <c r="L46" t="s">
        <v>142</v>
      </c>
      <c r="N46">
        <v>30</v>
      </c>
      <c r="O46" s="12">
        <v>43177</v>
      </c>
      <c r="P46" s="12">
        <v>43171</v>
      </c>
      <c r="Q46" s="12">
        <v>43177</v>
      </c>
    </row>
    <row r="47" spans="1:17" x14ac:dyDescent="0.25">
      <c r="A47" t="s">
        <v>185</v>
      </c>
      <c r="B47" t="s">
        <v>131</v>
      </c>
      <c r="C47" t="s">
        <v>133</v>
      </c>
      <c r="D47" t="b">
        <v>1</v>
      </c>
      <c r="E47" s="13">
        <v>4</v>
      </c>
      <c r="F47" s="13">
        <v>0</v>
      </c>
      <c r="G47" s="14">
        <v>0</v>
      </c>
      <c r="H47" s="15">
        <v>-0.1227</v>
      </c>
      <c r="I47">
        <v>14.5</v>
      </c>
      <c r="J47" s="16">
        <v>526.20000000000005</v>
      </c>
      <c r="K47" t="b">
        <v>0</v>
      </c>
      <c r="L47" t="s">
        <v>142</v>
      </c>
      <c r="N47">
        <v>30</v>
      </c>
      <c r="O47" s="12">
        <v>43177</v>
      </c>
      <c r="P47" s="12">
        <v>43171</v>
      </c>
      <c r="Q47" s="12">
        <v>43177</v>
      </c>
    </row>
    <row r="48" spans="1:17" x14ac:dyDescent="0.25">
      <c r="A48" t="s">
        <v>186</v>
      </c>
      <c r="B48" t="s">
        <v>121</v>
      </c>
      <c r="C48" t="s">
        <v>187</v>
      </c>
      <c r="D48" t="b">
        <v>1</v>
      </c>
      <c r="E48" s="13">
        <v>4</v>
      </c>
      <c r="F48" s="13">
        <v>0</v>
      </c>
      <c r="G48" s="14">
        <v>0</v>
      </c>
      <c r="H48" s="15">
        <v>-0.1227</v>
      </c>
      <c r="I48">
        <v>16</v>
      </c>
      <c r="J48" s="16">
        <v>212.25</v>
      </c>
      <c r="K48" t="b">
        <v>0</v>
      </c>
      <c r="L48" t="s">
        <v>142</v>
      </c>
      <c r="N48">
        <v>30</v>
      </c>
      <c r="O48" s="12">
        <v>43177</v>
      </c>
      <c r="P48" s="12">
        <v>43171</v>
      </c>
      <c r="Q48" s="12">
        <v>43177</v>
      </c>
    </row>
    <row r="49" spans="1:17" x14ac:dyDescent="0.25">
      <c r="A49" t="s">
        <v>188</v>
      </c>
      <c r="B49" t="s">
        <v>121</v>
      </c>
      <c r="C49" t="s">
        <v>189</v>
      </c>
      <c r="D49" t="b">
        <v>1</v>
      </c>
      <c r="E49" s="13">
        <v>4</v>
      </c>
      <c r="F49" s="13">
        <v>1</v>
      </c>
      <c r="G49" s="14">
        <v>0.25</v>
      </c>
      <c r="H49" s="15">
        <v>0.1273</v>
      </c>
      <c r="I49">
        <v>21</v>
      </c>
      <c r="J49" s="16">
        <v>973.98</v>
      </c>
      <c r="K49" t="b">
        <v>0</v>
      </c>
      <c r="L49" t="s">
        <v>142</v>
      </c>
      <c r="N49">
        <v>30</v>
      </c>
      <c r="O49" s="12">
        <v>43177</v>
      </c>
      <c r="P49" s="12">
        <v>43171</v>
      </c>
      <c r="Q49" s="12">
        <v>43177</v>
      </c>
    </row>
    <row r="50" spans="1:17" x14ac:dyDescent="0.25">
      <c r="A50" t="s">
        <v>190</v>
      </c>
      <c r="B50" t="s">
        <v>121</v>
      </c>
      <c r="C50" t="s">
        <v>191</v>
      </c>
      <c r="D50" t="b">
        <v>1</v>
      </c>
      <c r="E50" s="13">
        <v>4</v>
      </c>
      <c r="F50" s="13">
        <v>0</v>
      </c>
      <c r="G50" s="14">
        <v>0</v>
      </c>
      <c r="H50" s="15">
        <v>-0.1227</v>
      </c>
      <c r="I50">
        <v>17.5</v>
      </c>
      <c r="J50" s="16">
        <v>1617.88</v>
      </c>
      <c r="K50" t="b">
        <v>0</v>
      </c>
      <c r="L50" t="s">
        <v>142</v>
      </c>
      <c r="N50">
        <v>30</v>
      </c>
      <c r="O50" s="12">
        <v>43177</v>
      </c>
      <c r="P50" s="12">
        <v>43171</v>
      </c>
      <c r="Q50" s="12">
        <v>43177</v>
      </c>
    </row>
    <row r="51" spans="1:17" x14ac:dyDescent="0.25">
      <c r="A51" t="s">
        <v>192</v>
      </c>
      <c r="B51" t="s">
        <v>133</v>
      </c>
      <c r="C51" t="s">
        <v>131</v>
      </c>
      <c r="D51" t="b">
        <v>1</v>
      </c>
      <c r="E51" s="13">
        <v>3</v>
      </c>
      <c r="F51" s="13">
        <v>0</v>
      </c>
      <c r="G51" s="14">
        <v>0</v>
      </c>
      <c r="H51" s="15">
        <v>-0.1227</v>
      </c>
      <c r="I51">
        <v>8</v>
      </c>
      <c r="J51" s="16">
        <v>191.54</v>
      </c>
      <c r="K51" t="b">
        <v>0</v>
      </c>
      <c r="L51" t="s">
        <v>142</v>
      </c>
      <c r="N51">
        <v>30</v>
      </c>
      <c r="O51" s="12">
        <v>43177</v>
      </c>
      <c r="P51" s="12">
        <v>43171</v>
      </c>
      <c r="Q51" s="12">
        <v>43177</v>
      </c>
    </row>
    <row r="52" spans="1:17" x14ac:dyDescent="0.25">
      <c r="A52" t="s">
        <v>193</v>
      </c>
      <c r="B52" t="s">
        <v>133</v>
      </c>
      <c r="C52" t="s">
        <v>121</v>
      </c>
      <c r="D52" t="b">
        <v>1</v>
      </c>
      <c r="E52" s="13">
        <v>3</v>
      </c>
      <c r="F52" s="13">
        <v>1</v>
      </c>
      <c r="G52" s="14">
        <v>0.33329999999999999</v>
      </c>
      <c r="H52" s="15">
        <v>0.21060000000000001</v>
      </c>
      <c r="I52">
        <v>19</v>
      </c>
      <c r="J52" s="16">
        <v>230.78</v>
      </c>
      <c r="K52" t="b">
        <v>0</v>
      </c>
      <c r="L52" t="s">
        <v>142</v>
      </c>
      <c r="N52">
        <v>30</v>
      </c>
      <c r="O52" s="12">
        <v>43177</v>
      </c>
      <c r="P52" s="12">
        <v>43171</v>
      </c>
      <c r="Q52" s="12">
        <v>43177</v>
      </c>
    </row>
    <row r="53" spans="1:17" x14ac:dyDescent="0.25">
      <c r="A53" t="s">
        <v>194</v>
      </c>
      <c r="B53" t="s">
        <v>131</v>
      </c>
      <c r="C53" t="s">
        <v>129</v>
      </c>
      <c r="D53" t="b">
        <v>1</v>
      </c>
      <c r="E53" s="13">
        <v>3</v>
      </c>
      <c r="F53" s="13">
        <v>0</v>
      </c>
      <c r="G53" s="14">
        <v>0</v>
      </c>
      <c r="H53" s="15">
        <v>-0.1227</v>
      </c>
      <c r="I53">
        <v>20</v>
      </c>
      <c r="J53" s="16">
        <v>320.7</v>
      </c>
      <c r="K53" t="b">
        <v>0</v>
      </c>
      <c r="L53" t="s">
        <v>142</v>
      </c>
      <c r="N53">
        <v>30</v>
      </c>
      <c r="O53" s="12">
        <v>43177</v>
      </c>
      <c r="P53" s="12">
        <v>43171</v>
      </c>
      <c r="Q53" s="12">
        <v>43177</v>
      </c>
    </row>
    <row r="54" spans="1:17" x14ac:dyDescent="0.25">
      <c r="A54" t="s">
        <v>195</v>
      </c>
      <c r="B54" t="s">
        <v>131</v>
      </c>
      <c r="C54" t="s">
        <v>146</v>
      </c>
      <c r="D54" t="b">
        <v>1</v>
      </c>
      <c r="E54" s="13">
        <v>3</v>
      </c>
      <c r="F54" s="13">
        <v>1</v>
      </c>
      <c r="G54" s="14">
        <v>0.33329999999999999</v>
      </c>
      <c r="H54" s="15">
        <v>0.21060000000000001</v>
      </c>
      <c r="I54">
        <v>24</v>
      </c>
      <c r="J54" s="16">
        <v>356.89</v>
      </c>
      <c r="K54" t="b">
        <v>0</v>
      </c>
      <c r="L54" t="s">
        <v>142</v>
      </c>
      <c r="N54">
        <v>30</v>
      </c>
      <c r="O54" s="12">
        <v>43177</v>
      </c>
      <c r="P54" s="12">
        <v>43171</v>
      </c>
      <c r="Q54" s="12">
        <v>43177</v>
      </c>
    </row>
    <row r="55" spans="1:17" x14ac:dyDescent="0.25">
      <c r="A55" t="s">
        <v>196</v>
      </c>
      <c r="B55" t="s">
        <v>135</v>
      </c>
      <c r="C55" t="s">
        <v>164</v>
      </c>
      <c r="D55" t="b">
        <v>1</v>
      </c>
      <c r="E55" s="13">
        <v>3</v>
      </c>
      <c r="F55" s="13">
        <v>0</v>
      </c>
      <c r="G55" s="14">
        <v>0</v>
      </c>
      <c r="H55" s="15">
        <v>-0.1227</v>
      </c>
      <c r="I55">
        <v>16</v>
      </c>
      <c r="J55" s="16">
        <v>563.79</v>
      </c>
      <c r="K55" t="b">
        <v>0</v>
      </c>
      <c r="L55" t="s">
        <v>142</v>
      </c>
      <c r="N55">
        <v>30</v>
      </c>
      <c r="O55" s="12">
        <v>43177</v>
      </c>
      <c r="P55" s="12">
        <v>43171</v>
      </c>
      <c r="Q55" s="12">
        <v>43177</v>
      </c>
    </row>
    <row r="56" spans="1:17" x14ac:dyDescent="0.25">
      <c r="A56" t="s">
        <v>197</v>
      </c>
      <c r="B56" t="s">
        <v>135</v>
      </c>
      <c r="C56" t="s">
        <v>154</v>
      </c>
      <c r="D56" t="b">
        <v>1</v>
      </c>
      <c r="E56" s="13">
        <v>3</v>
      </c>
      <c r="F56" s="13">
        <v>0</v>
      </c>
      <c r="G56" s="14">
        <v>0</v>
      </c>
      <c r="H56" s="15">
        <v>-0.1227</v>
      </c>
      <c r="I56">
        <v>19</v>
      </c>
      <c r="J56" s="16">
        <v>408.62</v>
      </c>
      <c r="K56" t="b">
        <v>0</v>
      </c>
      <c r="L56" t="s">
        <v>142</v>
      </c>
      <c r="N56">
        <v>30</v>
      </c>
      <c r="O56" s="12">
        <v>43177</v>
      </c>
      <c r="P56" s="12">
        <v>43171</v>
      </c>
      <c r="Q56" s="12">
        <v>43177</v>
      </c>
    </row>
    <row r="57" spans="1:17" x14ac:dyDescent="0.25">
      <c r="A57" t="s">
        <v>198</v>
      </c>
      <c r="B57" t="s">
        <v>122</v>
      </c>
      <c r="C57" t="s">
        <v>138</v>
      </c>
      <c r="D57" t="b">
        <v>1</v>
      </c>
      <c r="E57" s="13">
        <v>3</v>
      </c>
      <c r="F57" s="13">
        <v>0</v>
      </c>
      <c r="G57" s="14">
        <v>0</v>
      </c>
      <c r="H57" s="15">
        <v>-0.1227</v>
      </c>
      <c r="I57">
        <v>13</v>
      </c>
      <c r="J57" s="16">
        <v>64.790000000000006</v>
      </c>
      <c r="K57" t="b">
        <v>0</v>
      </c>
      <c r="L57" t="s">
        <v>142</v>
      </c>
      <c r="N57">
        <v>30</v>
      </c>
      <c r="O57" s="12">
        <v>43177</v>
      </c>
      <c r="P57" s="12">
        <v>43171</v>
      </c>
      <c r="Q57" s="12">
        <v>43177</v>
      </c>
    </row>
    <row r="58" spans="1:17" x14ac:dyDescent="0.25">
      <c r="A58" t="s">
        <v>875</v>
      </c>
      <c r="B58" t="s">
        <v>138</v>
      </c>
      <c r="C58" t="s">
        <v>135</v>
      </c>
      <c r="D58" t="b">
        <v>1</v>
      </c>
      <c r="E58" s="13">
        <v>3</v>
      </c>
      <c r="F58" s="13">
        <v>0</v>
      </c>
      <c r="G58" s="14">
        <v>0</v>
      </c>
      <c r="H58" s="15">
        <v>-0.1227</v>
      </c>
      <c r="I58">
        <v>10</v>
      </c>
      <c r="J58" s="16">
        <v>196.1</v>
      </c>
      <c r="K58" t="b">
        <v>0</v>
      </c>
      <c r="L58" t="s">
        <v>142</v>
      </c>
      <c r="N58">
        <v>30</v>
      </c>
      <c r="O58" s="12">
        <v>43177</v>
      </c>
      <c r="P58" s="12">
        <v>43171</v>
      </c>
      <c r="Q58" s="12">
        <v>43177</v>
      </c>
    </row>
    <row r="59" spans="1:17" x14ac:dyDescent="0.25">
      <c r="A59" t="s">
        <v>876</v>
      </c>
      <c r="B59" t="s">
        <v>138</v>
      </c>
      <c r="C59" t="s">
        <v>125</v>
      </c>
      <c r="D59" t="b">
        <v>1</v>
      </c>
      <c r="E59" s="13">
        <v>3</v>
      </c>
      <c r="F59" s="13">
        <v>0</v>
      </c>
      <c r="G59" s="14">
        <v>0</v>
      </c>
      <c r="H59" s="15">
        <v>-0.1227</v>
      </c>
      <c r="I59">
        <v>6</v>
      </c>
      <c r="J59" s="16">
        <v>241.3</v>
      </c>
      <c r="K59" t="b">
        <v>0</v>
      </c>
      <c r="L59" t="s">
        <v>142</v>
      </c>
      <c r="N59">
        <v>30</v>
      </c>
      <c r="O59" s="12">
        <v>43177</v>
      </c>
      <c r="P59" s="12">
        <v>43171</v>
      </c>
      <c r="Q59" s="12">
        <v>43177</v>
      </c>
    </row>
    <row r="60" spans="1:17" x14ac:dyDescent="0.25">
      <c r="A60" t="s">
        <v>199</v>
      </c>
      <c r="B60" t="s">
        <v>125</v>
      </c>
      <c r="C60" t="s">
        <v>131</v>
      </c>
      <c r="D60" t="b">
        <v>1</v>
      </c>
      <c r="E60" s="13">
        <v>3</v>
      </c>
      <c r="F60" s="13">
        <v>0</v>
      </c>
      <c r="G60" s="14">
        <v>0</v>
      </c>
      <c r="H60" s="15">
        <v>-0.1227</v>
      </c>
      <c r="I60">
        <v>15</v>
      </c>
      <c r="J60" s="16">
        <v>2504.8000000000002</v>
      </c>
      <c r="K60" t="b">
        <v>0</v>
      </c>
      <c r="L60" t="s">
        <v>142</v>
      </c>
      <c r="N60">
        <v>30</v>
      </c>
      <c r="O60" s="12">
        <v>43177</v>
      </c>
      <c r="P60" s="12">
        <v>43171</v>
      </c>
      <c r="Q60" s="12">
        <v>43177</v>
      </c>
    </row>
    <row r="61" spans="1:17" x14ac:dyDescent="0.25">
      <c r="A61" t="s">
        <v>200</v>
      </c>
      <c r="B61" t="s">
        <v>125</v>
      </c>
      <c r="C61" t="s">
        <v>138</v>
      </c>
      <c r="D61" t="b">
        <v>1</v>
      </c>
      <c r="E61" s="13">
        <v>3</v>
      </c>
      <c r="F61" s="13">
        <v>0</v>
      </c>
      <c r="G61" s="14">
        <v>0</v>
      </c>
      <c r="H61" s="15">
        <v>-0.1227</v>
      </c>
      <c r="I61">
        <v>14</v>
      </c>
      <c r="J61" s="16">
        <v>272.5</v>
      </c>
      <c r="K61" t="b">
        <v>0</v>
      </c>
      <c r="L61" t="s">
        <v>142</v>
      </c>
      <c r="N61">
        <v>30</v>
      </c>
      <c r="O61" s="12">
        <v>43177</v>
      </c>
      <c r="P61" s="12">
        <v>43171</v>
      </c>
      <c r="Q61" s="12">
        <v>43177</v>
      </c>
    </row>
    <row r="62" spans="1:17" x14ac:dyDescent="0.25">
      <c r="A62" t="s">
        <v>201</v>
      </c>
      <c r="B62" t="s">
        <v>121</v>
      </c>
      <c r="C62" t="s">
        <v>202</v>
      </c>
      <c r="D62" t="b">
        <v>1</v>
      </c>
      <c r="E62" s="13">
        <v>3</v>
      </c>
      <c r="F62" s="13">
        <v>1</v>
      </c>
      <c r="G62" s="14">
        <v>0.33329999999999999</v>
      </c>
      <c r="H62" s="15">
        <v>0.21060000000000001</v>
      </c>
      <c r="I62">
        <v>21</v>
      </c>
      <c r="J62" s="16">
        <v>209.9</v>
      </c>
      <c r="K62" t="b">
        <v>0</v>
      </c>
      <c r="L62" t="s">
        <v>142</v>
      </c>
      <c r="N62">
        <v>30</v>
      </c>
      <c r="O62" s="12">
        <v>43177</v>
      </c>
      <c r="P62" s="12">
        <v>43171</v>
      </c>
      <c r="Q62" s="12">
        <v>43177</v>
      </c>
    </row>
    <row r="63" spans="1:17" x14ac:dyDescent="0.25">
      <c r="A63" t="s">
        <v>203</v>
      </c>
      <c r="B63" t="s">
        <v>133</v>
      </c>
      <c r="C63" t="s">
        <v>129</v>
      </c>
      <c r="D63" t="b">
        <v>1</v>
      </c>
      <c r="E63" s="13">
        <v>2</v>
      </c>
      <c r="F63" s="13">
        <v>0</v>
      </c>
      <c r="G63" s="14">
        <v>0</v>
      </c>
      <c r="H63" s="15">
        <v>-0.1227</v>
      </c>
      <c r="I63">
        <v>14.5</v>
      </c>
      <c r="J63" s="16">
        <v>405.79</v>
      </c>
      <c r="K63" t="b">
        <v>0</v>
      </c>
      <c r="L63" t="s">
        <v>142</v>
      </c>
      <c r="N63">
        <v>30</v>
      </c>
      <c r="O63" s="12">
        <v>43177</v>
      </c>
      <c r="P63" s="12">
        <v>43171</v>
      </c>
      <c r="Q63" s="12">
        <v>43177</v>
      </c>
    </row>
    <row r="64" spans="1:17" x14ac:dyDescent="0.25">
      <c r="A64" t="s">
        <v>877</v>
      </c>
      <c r="B64" t="s">
        <v>133</v>
      </c>
      <c r="C64" t="s">
        <v>122</v>
      </c>
      <c r="D64" t="b">
        <v>1</v>
      </c>
      <c r="E64" s="13">
        <v>2</v>
      </c>
      <c r="F64" s="13">
        <v>0</v>
      </c>
      <c r="G64" s="14">
        <v>0</v>
      </c>
      <c r="H64" s="15">
        <v>-0.1227</v>
      </c>
      <c r="I64">
        <v>10.5</v>
      </c>
      <c r="J64" s="16">
        <v>317.89999999999998</v>
      </c>
      <c r="K64" t="b">
        <v>0</v>
      </c>
      <c r="L64" t="s">
        <v>142</v>
      </c>
      <c r="N64">
        <v>30</v>
      </c>
      <c r="O64" s="12">
        <v>43177</v>
      </c>
      <c r="P64" s="12">
        <v>43171</v>
      </c>
      <c r="Q64" s="12">
        <v>43177</v>
      </c>
    </row>
    <row r="65" spans="1:17" x14ac:dyDescent="0.25">
      <c r="A65" t="s">
        <v>878</v>
      </c>
      <c r="B65" t="s">
        <v>131</v>
      </c>
      <c r="C65" t="s">
        <v>152</v>
      </c>
      <c r="D65" t="b">
        <v>1</v>
      </c>
      <c r="E65" s="13">
        <v>2</v>
      </c>
      <c r="F65" s="13">
        <v>0</v>
      </c>
      <c r="G65" s="14">
        <v>0</v>
      </c>
      <c r="H65" s="15">
        <v>-0.1227</v>
      </c>
      <c r="I65">
        <v>21.5</v>
      </c>
      <c r="J65" s="16">
        <v>121.8</v>
      </c>
      <c r="K65" t="b">
        <v>0</v>
      </c>
      <c r="L65" t="s">
        <v>142</v>
      </c>
      <c r="N65">
        <v>30</v>
      </c>
      <c r="O65" s="12">
        <v>43177</v>
      </c>
      <c r="P65" s="12">
        <v>43171</v>
      </c>
      <c r="Q65" s="12">
        <v>43177</v>
      </c>
    </row>
    <row r="66" spans="1:17" x14ac:dyDescent="0.25">
      <c r="A66" t="s">
        <v>204</v>
      </c>
      <c r="B66" t="s">
        <v>131</v>
      </c>
      <c r="C66" t="s">
        <v>127</v>
      </c>
      <c r="D66" t="b">
        <v>1</v>
      </c>
      <c r="E66" s="13">
        <v>2</v>
      </c>
      <c r="F66" s="13">
        <v>0</v>
      </c>
      <c r="G66" s="14">
        <v>0</v>
      </c>
      <c r="H66" s="15">
        <v>-0.1227</v>
      </c>
      <c r="I66">
        <v>16.5</v>
      </c>
      <c r="J66" s="16">
        <v>264.91000000000003</v>
      </c>
      <c r="K66" t="b">
        <v>0</v>
      </c>
      <c r="L66" t="s">
        <v>142</v>
      </c>
      <c r="N66">
        <v>30</v>
      </c>
      <c r="O66" s="12">
        <v>43177</v>
      </c>
      <c r="P66" s="12">
        <v>43171</v>
      </c>
      <c r="Q66" s="12">
        <v>43177</v>
      </c>
    </row>
    <row r="67" spans="1:17" x14ac:dyDescent="0.25">
      <c r="A67" t="s">
        <v>879</v>
      </c>
      <c r="B67" t="s">
        <v>131</v>
      </c>
      <c r="C67" t="s">
        <v>156</v>
      </c>
      <c r="D67" t="b">
        <v>1</v>
      </c>
      <c r="E67" s="13">
        <v>2</v>
      </c>
      <c r="F67" s="13">
        <v>0</v>
      </c>
      <c r="G67" s="14">
        <v>0</v>
      </c>
      <c r="H67" s="15">
        <v>-0.1227</v>
      </c>
      <c r="I67">
        <v>24</v>
      </c>
      <c r="J67" s="16">
        <v>169.85</v>
      </c>
      <c r="K67" t="b">
        <v>0</v>
      </c>
      <c r="L67" t="s">
        <v>142</v>
      </c>
      <c r="N67">
        <v>30</v>
      </c>
      <c r="O67" s="12">
        <v>43177</v>
      </c>
      <c r="P67" s="12">
        <v>43171</v>
      </c>
      <c r="Q67" s="12">
        <v>43177</v>
      </c>
    </row>
    <row r="68" spans="1:17" x14ac:dyDescent="0.25">
      <c r="A68" t="s">
        <v>205</v>
      </c>
      <c r="B68" t="s">
        <v>131</v>
      </c>
      <c r="C68" t="s">
        <v>125</v>
      </c>
      <c r="D68" t="b">
        <v>1</v>
      </c>
      <c r="E68" s="13">
        <v>2</v>
      </c>
      <c r="F68" s="13">
        <v>0</v>
      </c>
      <c r="G68" s="14">
        <v>0</v>
      </c>
      <c r="H68" s="15">
        <v>-0.1227</v>
      </c>
      <c r="I68">
        <v>18</v>
      </c>
      <c r="J68" s="16">
        <v>165</v>
      </c>
      <c r="K68" t="b">
        <v>0</v>
      </c>
      <c r="L68" t="s">
        <v>142</v>
      </c>
      <c r="N68">
        <v>30</v>
      </c>
      <c r="O68" s="12">
        <v>43177</v>
      </c>
      <c r="P68" s="12">
        <v>43171</v>
      </c>
      <c r="Q68" s="12">
        <v>43177</v>
      </c>
    </row>
    <row r="69" spans="1:17" x14ac:dyDescent="0.25">
      <c r="A69" t="s">
        <v>206</v>
      </c>
      <c r="B69" t="s">
        <v>135</v>
      </c>
      <c r="C69" t="s">
        <v>129</v>
      </c>
      <c r="D69" t="b">
        <v>1</v>
      </c>
      <c r="E69" s="13">
        <v>2</v>
      </c>
      <c r="F69" s="13">
        <v>0</v>
      </c>
      <c r="G69" s="14">
        <v>0</v>
      </c>
      <c r="H69" s="15">
        <v>-0.1227</v>
      </c>
      <c r="I69">
        <v>16.5</v>
      </c>
      <c r="J69" s="16">
        <v>118.8</v>
      </c>
      <c r="K69" t="b">
        <v>0</v>
      </c>
      <c r="L69" t="s">
        <v>142</v>
      </c>
      <c r="N69">
        <v>30</v>
      </c>
      <c r="O69" s="12">
        <v>43177</v>
      </c>
      <c r="P69" s="12">
        <v>43171</v>
      </c>
      <c r="Q69" s="12">
        <v>43177</v>
      </c>
    </row>
    <row r="70" spans="1:17" x14ac:dyDescent="0.25">
      <c r="A70" t="s">
        <v>207</v>
      </c>
      <c r="B70" t="s">
        <v>135</v>
      </c>
      <c r="C70" t="s">
        <v>146</v>
      </c>
      <c r="D70" t="b">
        <v>1</v>
      </c>
      <c r="E70" s="13">
        <v>2</v>
      </c>
      <c r="F70" s="13">
        <v>0</v>
      </c>
      <c r="G70" s="14">
        <v>0</v>
      </c>
      <c r="H70" s="15">
        <v>-0.1227</v>
      </c>
      <c r="I70">
        <v>17</v>
      </c>
      <c r="J70" s="16">
        <v>585.29999999999995</v>
      </c>
      <c r="K70" t="b">
        <v>0</v>
      </c>
      <c r="L70" t="s">
        <v>142</v>
      </c>
      <c r="N70">
        <v>30</v>
      </c>
      <c r="O70" s="12">
        <v>43177</v>
      </c>
      <c r="P70" s="12">
        <v>43171</v>
      </c>
      <c r="Q70" s="12">
        <v>43177</v>
      </c>
    </row>
    <row r="71" spans="1:17" x14ac:dyDescent="0.25">
      <c r="A71" t="s">
        <v>880</v>
      </c>
      <c r="B71" t="s">
        <v>135</v>
      </c>
      <c r="C71" t="s">
        <v>182</v>
      </c>
      <c r="D71" t="b">
        <v>1</v>
      </c>
      <c r="E71" s="13">
        <v>2</v>
      </c>
      <c r="F71" s="13">
        <v>0</v>
      </c>
      <c r="G71" s="14">
        <v>0</v>
      </c>
      <c r="H71" s="15">
        <v>-0.1227</v>
      </c>
      <c r="I71">
        <v>18.5</v>
      </c>
      <c r="J71" s="16">
        <v>39.799999999999997</v>
      </c>
      <c r="K71" t="b">
        <v>0</v>
      </c>
      <c r="L71" t="s">
        <v>142</v>
      </c>
      <c r="N71">
        <v>30</v>
      </c>
      <c r="O71" s="12">
        <v>43177</v>
      </c>
      <c r="P71" s="12">
        <v>43171</v>
      </c>
      <c r="Q71" s="12">
        <v>43177</v>
      </c>
    </row>
    <row r="72" spans="1:17" x14ac:dyDescent="0.25">
      <c r="A72" t="s">
        <v>208</v>
      </c>
      <c r="B72" t="s">
        <v>122</v>
      </c>
      <c r="C72" t="s">
        <v>127</v>
      </c>
      <c r="D72" t="b">
        <v>1</v>
      </c>
      <c r="E72" s="13">
        <v>2</v>
      </c>
      <c r="F72" s="13">
        <v>0</v>
      </c>
      <c r="G72" s="14">
        <v>0</v>
      </c>
      <c r="H72" s="15">
        <v>-0.1227</v>
      </c>
      <c r="I72">
        <v>20.5</v>
      </c>
      <c r="J72" s="16">
        <v>75.8</v>
      </c>
      <c r="K72" t="b">
        <v>0</v>
      </c>
      <c r="L72" t="s">
        <v>142</v>
      </c>
      <c r="N72">
        <v>30</v>
      </c>
      <c r="O72" s="12">
        <v>43177</v>
      </c>
      <c r="P72" s="12">
        <v>43171</v>
      </c>
      <c r="Q72" s="12">
        <v>43177</v>
      </c>
    </row>
    <row r="73" spans="1:17" x14ac:dyDescent="0.25">
      <c r="A73" t="s">
        <v>209</v>
      </c>
      <c r="B73" t="s">
        <v>122</v>
      </c>
      <c r="C73" t="s">
        <v>135</v>
      </c>
      <c r="D73" t="b">
        <v>1</v>
      </c>
      <c r="E73" s="13">
        <v>2</v>
      </c>
      <c r="F73" s="13">
        <v>1</v>
      </c>
      <c r="G73" s="14">
        <v>0.5</v>
      </c>
      <c r="H73" s="15">
        <v>0.37730000000000002</v>
      </c>
      <c r="I73">
        <v>25</v>
      </c>
      <c r="J73" s="16">
        <v>729.8</v>
      </c>
      <c r="K73" t="b">
        <v>0</v>
      </c>
      <c r="L73" t="s">
        <v>142</v>
      </c>
      <c r="N73">
        <v>30</v>
      </c>
      <c r="O73" s="12">
        <v>43177</v>
      </c>
      <c r="P73" s="12">
        <v>43171</v>
      </c>
      <c r="Q73" s="12">
        <v>43177</v>
      </c>
    </row>
    <row r="74" spans="1:17" x14ac:dyDescent="0.25">
      <c r="A74" t="s">
        <v>210</v>
      </c>
      <c r="B74" t="s">
        <v>138</v>
      </c>
      <c r="C74" t="s">
        <v>131</v>
      </c>
      <c r="D74" t="b">
        <v>1</v>
      </c>
      <c r="E74" s="13">
        <v>2</v>
      </c>
      <c r="F74" s="13">
        <v>0</v>
      </c>
      <c r="G74" s="14">
        <v>0</v>
      </c>
      <c r="H74" s="15">
        <v>-0.1227</v>
      </c>
      <c r="I74">
        <v>10</v>
      </c>
      <c r="J74" s="16">
        <v>239.95</v>
      </c>
      <c r="K74" t="b">
        <v>0</v>
      </c>
      <c r="L74" t="s">
        <v>142</v>
      </c>
      <c r="N74">
        <v>30</v>
      </c>
      <c r="O74" s="12">
        <v>43177</v>
      </c>
      <c r="P74" s="12">
        <v>43171</v>
      </c>
      <c r="Q74" s="12">
        <v>43177</v>
      </c>
    </row>
    <row r="75" spans="1:17" x14ac:dyDescent="0.25">
      <c r="A75" t="s">
        <v>881</v>
      </c>
      <c r="B75" t="s">
        <v>138</v>
      </c>
      <c r="C75" t="s">
        <v>182</v>
      </c>
      <c r="D75" t="b">
        <v>1</v>
      </c>
      <c r="E75" s="13">
        <v>2</v>
      </c>
      <c r="F75" s="13">
        <v>0</v>
      </c>
      <c r="G75" s="14">
        <v>0</v>
      </c>
      <c r="H75" s="15">
        <v>-0.1227</v>
      </c>
      <c r="I75">
        <v>12</v>
      </c>
      <c r="J75" s="16">
        <v>79.98</v>
      </c>
      <c r="K75" t="b">
        <v>0</v>
      </c>
      <c r="L75" t="s">
        <v>142</v>
      </c>
      <c r="N75">
        <v>30</v>
      </c>
      <c r="O75" s="12">
        <v>43177</v>
      </c>
      <c r="P75" s="12">
        <v>43171</v>
      </c>
      <c r="Q75" s="12">
        <v>43177</v>
      </c>
    </row>
    <row r="76" spans="1:17" x14ac:dyDescent="0.25">
      <c r="A76" t="s">
        <v>211</v>
      </c>
      <c r="B76" t="s">
        <v>138</v>
      </c>
      <c r="C76" t="s">
        <v>138</v>
      </c>
      <c r="D76" t="b">
        <v>0</v>
      </c>
      <c r="E76" s="13">
        <v>2</v>
      </c>
      <c r="F76" s="13">
        <v>0</v>
      </c>
      <c r="G76" s="14">
        <v>0</v>
      </c>
      <c r="H76" s="15">
        <v>-0.1227</v>
      </c>
      <c r="I76">
        <v>4.5</v>
      </c>
      <c r="J76" s="16">
        <v>156.11000000000001</v>
      </c>
      <c r="K76" t="b">
        <v>0</v>
      </c>
      <c r="L76" t="s">
        <v>142</v>
      </c>
      <c r="N76">
        <v>30</v>
      </c>
      <c r="O76" s="12">
        <v>43177</v>
      </c>
      <c r="P76" s="12">
        <v>43171</v>
      </c>
      <c r="Q76" s="12">
        <v>43177</v>
      </c>
    </row>
    <row r="77" spans="1:17" x14ac:dyDescent="0.25">
      <c r="A77" t="s">
        <v>212</v>
      </c>
      <c r="B77" t="s">
        <v>125</v>
      </c>
      <c r="C77" t="s">
        <v>146</v>
      </c>
      <c r="D77" t="b">
        <v>1</v>
      </c>
      <c r="E77" s="13">
        <v>2</v>
      </c>
      <c r="F77" s="13">
        <v>0</v>
      </c>
      <c r="G77" s="14">
        <v>0</v>
      </c>
      <c r="H77" s="15">
        <v>-0.1227</v>
      </c>
      <c r="I77">
        <v>18</v>
      </c>
      <c r="J77" s="16">
        <v>198.8</v>
      </c>
      <c r="K77" t="b">
        <v>0</v>
      </c>
      <c r="L77" t="s">
        <v>142</v>
      </c>
      <c r="N77">
        <v>30</v>
      </c>
      <c r="O77" s="12">
        <v>43177</v>
      </c>
      <c r="P77" s="12">
        <v>43171</v>
      </c>
      <c r="Q77" s="12">
        <v>43177</v>
      </c>
    </row>
    <row r="78" spans="1:17" x14ac:dyDescent="0.25">
      <c r="A78" t="s">
        <v>882</v>
      </c>
      <c r="B78" t="s">
        <v>125</v>
      </c>
      <c r="C78" t="s">
        <v>189</v>
      </c>
      <c r="D78" t="b">
        <v>1</v>
      </c>
      <c r="E78" s="13">
        <v>2</v>
      </c>
      <c r="F78" s="13">
        <v>0</v>
      </c>
      <c r="G78" s="14">
        <v>0</v>
      </c>
      <c r="H78" s="15">
        <v>-0.1227</v>
      </c>
      <c r="I78">
        <v>25</v>
      </c>
      <c r="J78" s="16">
        <v>859.8</v>
      </c>
      <c r="K78" t="b">
        <v>0</v>
      </c>
      <c r="L78" t="s">
        <v>142</v>
      </c>
      <c r="N78">
        <v>30</v>
      </c>
      <c r="O78" s="12">
        <v>43177</v>
      </c>
      <c r="P78" s="12">
        <v>43171</v>
      </c>
      <c r="Q78" s="12">
        <v>43177</v>
      </c>
    </row>
    <row r="79" spans="1:17" x14ac:dyDescent="0.25">
      <c r="A79" t="s">
        <v>883</v>
      </c>
      <c r="B79" t="s">
        <v>129</v>
      </c>
      <c r="C79" t="s">
        <v>146</v>
      </c>
      <c r="D79" t="b">
        <v>1</v>
      </c>
      <c r="E79" s="13">
        <v>1</v>
      </c>
      <c r="F79" s="13">
        <v>0</v>
      </c>
      <c r="G79" s="14">
        <v>0</v>
      </c>
      <c r="H79" s="15">
        <v>-0.1227</v>
      </c>
      <c r="I79">
        <v>22</v>
      </c>
      <c r="J79" s="16">
        <v>89</v>
      </c>
      <c r="K79" t="b">
        <v>0</v>
      </c>
      <c r="L79" t="s">
        <v>142</v>
      </c>
      <c r="N79">
        <v>30</v>
      </c>
      <c r="O79" s="12">
        <v>43177</v>
      </c>
      <c r="P79" s="12">
        <v>43171</v>
      </c>
      <c r="Q79" s="12">
        <v>43177</v>
      </c>
    </row>
    <row r="80" spans="1:17" x14ac:dyDescent="0.25">
      <c r="A80" t="s">
        <v>884</v>
      </c>
      <c r="B80" t="s">
        <v>129</v>
      </c>
      <c r="C80" t="s">
        <v>131</v>
      </c>
      <c r="D80" t="b">
        <v>1</v>
      </c>
      <c r="E80" s="13">
        <v>1</v>
      </c>
      <c r="F80" s="13">
        <v>0</v>
      </c>
      <c r="G80" s="14">
        <v>0</v>
      </c>
      <c r="H80" s="15">
        <v>-0.1227</v>
      </c>
      <c r="I80">
        <v>17</v>
      </c>
      <c r="J80" s="16">
        <v>89</v>
      </c>
      <c r="K80" t="b">
        <v>0</v>
      </c>
      <c r="L80" t="s">
        <v>142</v>
      </c>
      <c r="N80">
        <v>30</v>
      </c>
      <c r="O80" s="12">
        <v>43177</v>
      </c>
      <c r="P80" s="12">
        <v>43171</v>
      </c>
      <c r="Q80" s="12">
        <v>43177</v>
      </c>
    </row>
    <row r="81" spans="1:17" x14ac:dyDescent="0.25">
      <c r="A81" t="s">
        <v>885</v>
      </c>
      <c r="B81" t="s">
        <v>129</v>
      </c>
      <c r="C81" t="s">
        <v>156</v>
      </c>
      <c r="D81" t="b">
        <v>1</v>
      </c>
      <c r="E81" s="13">
        <v>1</v>
      </c>
      <c r="F81" s="13">
        <v>1</v>
      </c>
      <c r="G81" s="14">
        <v>1</v>
      </c>
      <c r="H81" s="15">
        <v>0.87729999999999997</v>
      </c>
      <c r="I81">
        <v>46</v>
      </c>
      <c r="J81" s="16">
        <v>790</v>
      </c>
      <c r="K81" t="b">
        <v>0</v>
      </c>
      <c r="L81" t="s">
        <v>142</v>
      </c>
      <c r="N81">
        <v>30</v>
      </c>
      <c r="O81" s="12">
        <v>43177</v>
      </c>
      <c r="P81" s="12">
        <v>43171</v>
      </c>
      <c r="Q81" s="12">
        <v>43177</v>
      </c>
    </row>
    <row r="82" spans="1:17" x14ac:dyDescent="0.25">
      <c r="A82" t="s">
        <v>213</v>
      </c>
      <c r="B82" t="s">
        <v>129</v>
      </c>
      <c r="C82" t="s">
        <v>121</v>
      </c>
      <c r="D82" t="b">
        <v>1</v>
      </c>
      <c r="E82" s="13">
        <v>1</v>
      </c>
      <c r="F82" s="13">
        <v>0</v>
      </c>
      <c r="G82" s="14">
        <v>0</v>
      </c>
      <c r="H82" s="15">
        <v>-0.1227</v>
      </c>
      <c r="I82">
        <v>15</v>
      </c>
      <c r="J82" s="16">
        <v>166.02</v>
      </c>
      <c r="K82" t="b">
        <v>0</v>
      </c>
      <c r="L82" t="s">
        <v>142</v>
      </c>
      <c r="N82">
        <v>30</v>
      </c>
      <c r="O82" s="12">
        <v>43177</v>
      </c>
      <c r="P82" s="12">
        <v>43171</v>
      </c>
      <c r="Q82" s="12">
        <v>43177</v>
      </c>
    </row>
    <row r="83" spans="1:17" x14ac:dyDescent="0.25">
      <c r="A83" t="s">
        <v>886</v>
      </c>
      <c r="B83" t="s">
        <v>152</v>
      </c>
      <c r="C83" t="s">
        <v>122</v>
      </c>
      <c r="D83" t="b">
        <v>1</v>
      </c>
      <c r="E83" s="13">
        <v>1</v>
      </c>
      <c r="F83" s="13">
        <v>0</v>
      </c>
      <c r="G83" s="14">
        <v>0</v>
      </c>
      <c r="H83" s="15">
        <v>-0.1227</v>
      </c>
      <c r="I83">
        <v>21</v>
      </c>
      <c r="J83" s="16">
        <v>54.86</v>
      </c>
      <c r="K83" t="b">
        <v>0</v>
      </c>
      <c r="L83" t="s">
        <v>142</v>
      </c>
      <c r="N83">
        <v>30</v>
      </c>
      <c r="O83" s="12">
        <v>43177</v>
      </c>
      <c r="P83" s="12">
        <v>43171</v>
      </c>
      <c r="Q83" s="12">
        <v>43177</v>
      </c>
    </row>
    <row r="84" spans="1:17" x14ac:dyDescent="0.25">
      <c r="A84" t="s">
        <v>887</v>
      </c>
      <c r="B84" t="s">
        <v>133</v>
      </c>
      <c r="C84" t="s">
        <v>125</v>
      </c>
      <c r="D84" t="b">
        <v>1</v>
      </c>
      <c r="E84" s="13">
        <v>1</v>
      </c>
      <c r="F84" s="13">
        <v>0</v>
      </c>
      <c r="G84" s="14">
        <v>0</v>
      </c>
      <c r="H84" s="15">
        <v>-0.1227</v>
      </c>
      <c r="I84">
        <v>19</v>
      </c>
      <c r="J84" s="16">
        <v>62.9</v>
      </c>
      <c r="K84" t="b">
        <v>0</v>
      </c>
      <c r="L84" t="s">
        <v>142</v>
      </c>
      <c r="N84">
        <v>30</v>
      </c>
      <c r="O84" s="12">
        <v>43177</v>
      </c>
      <c r="P84" s="12">
        <v>43171</v>
      </c>
      <c r="Q84" s="12">
        <v>43177</v>
      </c>
    </row>
    <row r="85" spans="1:17" x14ac:dyDescent="0.25">
      <c r="A85" t="s">
        <v>888</v>
      </c>
      <c r="B85" t="s">
        <v>127</v>
      </c>
      <c r="C85" t="s">
        <v>146</v>
      </c>
      <c r="D85" t="b">
        <v>1</v>
      </c>
      <c r="E85" s="13">
        <v>1</v>
      </c>
      <c r="F85" s="13">
        <v>0</v>
      </c>
      <c r="G85" s="14">
        <v>0</v>
      </c>
      <c r="H85" s="15">
        <v>-0.1227</v>
      </c>
      <c r="I85">
        <v>21</v>
      </c>
      <c r="J85" s="16">
        <v>43.9</v>
      </c>
      <c r="K85" t="b">
        <v>0</v>
      </c>
      <c r="L85" t="s">
        <v>142</v>
      </c>
      <c r="N85">
        <v>30</v>
      </c>
      <c r="O85" s="12">
        <v>43177</v>
      </c>
      <c r="P85" s="12">
        <v>43171</v>
      </c>
      <c r="Q85" s="12">
        <v>43177</v>
      </c>
    </row>
    <row r="86" spans="1:17" x14ac:dyDescent="0.25">
      <c r="A86" t="s">
        <v>889</v>
      </c>
      <c r="B86" t="s">
        <v>127</v>
      </c>
      <c r="C86" t="s">
        <v>127</v>
      </c>
      <c r="D86" t="b">
        <v>0</v>
      </c>
      <c r="E86" s="13">
        <v>1</v>
      </c>
      <c r="F86" s="13">
        <v>0</v>
      </c>
      <c r="G86" s="14">
        <v>0</v>
      </c>
      <c r="H86" s="15">
        <v>-0.1227</v>
      </c>
      <c r="I86">
        <v>6</v>
      </c>
      <c r="J86" s="16">
        <v>145.9</v>
      </c>
      <c r="K86" t="b">
        <v>0</v>
      </c>
      <c r="L86" t="s">
        <v>142</v>
      </c>
      <c r="N86">
        <v>30</v>
      </c>
      <c r="O86" s="12">
        <v>43177</v>
      </c>
      <c r="P86" s="12">
        <v>43171</v>
      </c>
      <c r="Q86" s="12">
        <v>43177</v>
      </c>
    </row>
    <row r="87" spans="1:17" x14ac:dyDescent="0.25">
      <c r="A87" t="s">
        <v>214</v>
      </c>
      <c r="B87" t="s">
        <v>127</v>
      </c>
      <c r="C87" t="s">
        <v>131</v>
      </c>
      <c r="D87" t="b">
        <v>1</v>
      </c>
      <c r="E87" s="13">
        <v>1</v>
      </c>
      <c r="F87" s="13">
        <v>0</v>
      </c>
      <c r="G87" s="14">
        <v>0</v>
      </c>
      <c r="H87" s="15">
        <v>-0.1227</v>
      </c>
      <c r="I87">
        <v>9</v>
      </c>
      <c r="J87" s="16">
        <v>55</v>
      </c>
      <c r="K87" t="b">
        <v>0</v>
      </c>
      <c r="L87" t="s">
        <v>142</v>
      </c>
      <c r="N87">
        <v>30</v>
      </c>
      <c r="O87" s="12">
        <v>43177</v>
      </c>
      <c r="P87" s="12">
        <v>43171</v>
      </c>
      <c r="Q87" s="12">
        <v>43177</v>
      </c>
    </row>
    <row r="88" spans="1:17" x14ac:dyDescent="0.25">
      <c r="A88" t="s">
        <v>890</v>
      </c>
      <c r="B88" t="s">
        <v>127</v>
      </c>
      <c r="C88" t="s">
        <v>148</v>
      </c>
      <c r="D88" t="b">
        <v>1</v>
      </c>
      <c r="E88" s="13">
        <v>1</v>
      </c>
      <c r="F88" s="13">
        <v>0</v>
      </c>
      <c r="G88" s="14">
        <v>0</v>
      </c>
      <c r="H88" s="15">
        <v>-0.1227</v>
      </c>
      <c r="I88">
        <v>17</v>
      </c>
      <c r="J88" s="16">
        <v>175</v>
      </c>
      <c r="K88" t="b">
        <v>0</v>
      </c>
      <c r="L88" t="s">
        <v>142</v>
      </c>
      <c r="N88">
        <v>30</v>
      </c>
      <c r="O88" s="12">
        <v>43177</v>
      </c>
      <c r="P88" s="12">
        <v>43171</v>
      </c>
      <c r="Q88" s="12">
        <v>43177</v>
      </c>
    </row>
    <row r="89" spans="1:17" x14ac:dyDescent="0.25">
      <c r="A89" t="s">
        <v>891</v>
      </c>
      <c r="B89" t="s">
        <v>127</v>
      </c>
      <c r="C89" t="s">
        <v>135</v>
      </c>
      <c r="D89" t="b">
        <v>1</v>
      </c>
      <c r="E89" s="13">
        <v>1</v>
      </c>
      <c r="F89" s="13">
        <v>0</v>
      </c>
      <c r="G89" s="14">
        <v>0</v>
      </c>
      <c r="H89" s="15">
        <v>-0.1227</v>
      </c>
      <c r="I89">
        <v>15</v>
      </c>
      <c r="J89" s="16">
        <v>179</v>
      </c>
      <c r="K89" t="b">
        <v>0</v>
      </c>
      <c r="L89" t="s">
        <v>142</v>
      </c>
      <c r="N89">
        <v>30</v>
      </c>
      <c r="O89" s="12">
        <v>43177</v>
      </c>
      <c r="P89" s="12">
        <v>43171</v>
      </c>
      <c r="Q89" s="12">
        <v>43177</v>
      </c>
    </row>
    <row r="90" spans="1:17" x14ac:dyDescent="0.25">
      <c r="A90" t="s">
        <v>215</v>
      </c>
      <c r="B90" t="s">
        <v>127</v>
      </c>
      <c r="C90" t="s">
        <v>121</v>
      </c>
      <c r="D90" t="b">
        <v>1</v>
      </c>
      <c r="E90" s="13">
        <v>1</v>
      </c>
      <c r="F90" s="13">
        <v>0</v>
      </c>
      <c r="G90" s="14">
        <v>0</v>
      </c>
      <c r="H90" s="15">
        <v>-0.1227</v>
      </c>
      <c r="I90">
        <v>16</v>
      </c>
      <c r="J90" s="16">
        <v>139</v>
      </c>
      <c r="K90" t="b">
        <v>0</v>
      </c>
      <c r="L90" t="s">
        <v>142</v>
      </c>
      <c r="N90">
        <v>30</v>
      </c>
      <c r="O90" s="12">
        <v>43177</v>
      </c>
      <c r="P90" s="12">
        <v>43171</v>
      </c>
      <c r="Q90" s="12">
        <v>43177</v>
      </c>
    </row>
    <row r="91" spans="1:17" x14ac:dyDescent="0.25">
      <c r="A91" t="s">
        <v>892</v>
      </c>
      <c r="B91" t="s">
        <v>160</v>
      </c>
      <c r="C91" t="s">
        <v>133</v>
      </c>
      <c r="D91" t="b">
        <v>1</v>
      </c>
      <c r="E91" s="13">
        <v>1</v>
      </c>
      <c r="F91" s="13">
        <v>0</v>
      </c>
      <c r="G91" s="14">
        <v>0</v>
      </c>
      <c r="H91" s="15">
        <v>-0.1227</v>
      </c>
      <c r="I91">
        <v>14</v>
      </c>
      <c r="J91" s="16">
        <v>61.99</v>
      </c>
      <c r="K91" t="b">
        <v>0</v>
      </c>
      <c r="L91" t="s">
        <v>142</v>
      </c>
      <c r="N91">
        <v>30</v>
      </c>
      <c r="O91" s="12">
        <v>43177</v>
      </c>
      <c r="P91" s="12">
        <v>43171</v>
      </c>
      <c r="Q91" s="12">
        <v>43177</v>
      </c>
    </row>
    <row r="92" spans="1:17" x14ac:dyDescent="0.25">
      <c r="A92" t="s">
        <v>893</v>
      </c>
      <c r="B92" t="s">
        <v>160</v>
      </c>
      <c r="C92" t="s">
        <v>131</v>
      </c>
      <c r="D92" t="b">
        <v>1</v>
      </c>
      <c r="E92" s="13">
        <v>1</v>
      </c>
      <c r="F92" s="13">
        <v>1</v>
      </c>
      <c r="G92" s="14">
        <v>1</v>
      </c>
      <c r="H92" s="15">
        <v>0.87729999999999997</v>
      </c>
      <c r="I92">
        <v>34</v>
      </c>
      <c r="J92" s="16">
        <v>110.99</v>
      </c>
      <c r="K92" t="b">
        <v>0</v>
      </c>
      <c r="L92" t="s">
        <v>142</v>
      </c>
      <c r="N92">
        <v>30</v>
      </c>
      <c r="O92" s="12">
        <v>43177</v>
      </c>
      <c r="P92" s="12">
        <v>43171</v>
      </c>
      <c r="Q92" s="12">
        <v>43177</v>
      </c>
    </row>
    <row r="93" spans="1:17" x14ac:dyDescent="0.25">
      <c r="A93" t="s">
        <v>894</v>
      </c>
      <c r="B93" t="s">
        <v>160</v>
      </c>
      <c r="C93" t="s">
        <v>148</v>
      </c>
      <c r="D93" t="b">
        <v>1</v>
      </c>
      <c r="E93" s="13">
        <v>1</v>
      </c>
      <c r="F93" s="13">
        <v>0</v>
      </c>
      <c r="G93" s="14">
        <v>0</v>
      </c>
      <c r="H93" s="15">
        <v>-0.1227</v>
      </c>
      <c r="I93">
        <v>8</v>
      </c>
      <c r="J93" s="16">
        <v>61.99</v>
      </c>
      <c r="K93" t="b">
        <v>0</v>
      </c>
      <c r="L93" t="s">
        <v>142</v>
      </c>
      <c r="N93">
        <v>30</v>
      </c>
      <c r="O93" s="12">
        <v>43177</v>
      </c>
      <c r="P93" s="12">
        <v>43171</v>
      </c>
      <c r="Q93" s="12">
        <v>43177</v>
      </c>
    </row>
    <row r="94" spans="1:17" x14ac:dyDescent="0.25">
      <c r="A94" t="s">
        <v>216</v>
      </c>
      <c r="B94" t="s">
        <v>160</v>
      </c>
      <c r="C94" t="s">
        <v>121</v>
      </c>
      <c r="D94" t="b">
        <v>1</v>
      </c>
      <c r="E94" s="13">
        <v>1</v>
      </c>
      <c r="F94" s="13">
        <v>0</v>
      </c>
      <c r="G94" s="14">
        <v>0</v>
      </c>
      <c r="H94" s="15">
        <v>-0.1227</v>
      </c>
      <c r="I94">
        <v>14</v>
      </c>
      <c r="J94" s="16">
        <v>57.99</v>
      </c>
      <c r="K94" t="b">
        <v>0</v>
      </c>
      <c r="L94" t="s">
        <v>142</v>
      </c>
      <c r="N94">
        <v>30</v>
      </c>
      <c r="O94" s="12">
        <v>43177</v>
      </c>
      <c r="P94" s="12">
        <v>43171</v>
      </c>
      <c r="Q94" s="12">
        <v>43177</v>
      </c>
    </row>
    <row r="95" spans="1:17" x14ac:dyDescent="0.25">
      <c r="A95" t="s">
        <v>217</v>
      </c>
      <c r="B95" t="s">
        <v>131</v>
      </c>
      <c r="C95" t="s">
        <v>164</v>
      </c>
      <c r="D95" t="b">
        <v>1</v>
      </c>
      <c r="E95" s="13">
        <v>1</v>
      </c>
      <c r="F95" s="13">
        <v>0</v>
      </c>
      <c r="G95" s="14">
        <v>0</v>
      </c>
      <c r="H95" s="15">
        <v>-0.1227</v>
      </c>
      <c r="I95">
        <v>14</v>
      </c>
      <c r="J95" s="16">
        <v>149</v>
      </c>
      <c r="K95" t="b">
        <v>0</v>
      </c>
      <c r="L95" t="s">
        <v>142</v>
      </c>
      <c r="N95">
        <v>30</v>
      </c>
      <c r="O95" s="12">
        <v>43177</v>
      </c>
      <c r="P95" s="12">
        <v>43171</v>
      </c>
      <c r="Q95" s="12">
        <v>43177</v>
      </c>
    </row>
    <row r="96" spans="1:17" x14ac:dyDescent="0.25">
      <c r="A96" t="s">
        <v>895</v>
      </c>
      <c r="B96" t="s">
        <v>131</v>
      </c>
      <c r="C96" t="s">
        <v>191</v>
      </c>
      <c r="D96" t="b">
        <v>1</v>
      </c>
      <c r="E96" s="13">
        <v>1</v>
      </c>
      <c r="F96" s="13">
        <v>0</v>
      </c>
      <c r="G96" s="14">
        <v>0</v>
      </c>
      <c r="H96" s="15">
        <v>-0.1227</v>
      </c>
      <c r="I96">
        <v>13</v>
      </c>
      <c r="J96" s="16">
        <v>185.81</v>
      </c>
      <c r="K96" t="b">
        <v>0</v>
      </c>
      <c r="L96" t="s">
        <v>142</v>
      </c>
      <c r="N96">
        <v>30</v>
      </c>
      <c r="O96" s="12">
        <v>43177</v>
      </c>
      <c r="P96" s="12">
        <v>43171</v>
      </c>
      <c r="Q96" s="12">
        <v>43177</v>
      </c>
    </row>
    <row r="97" spans="1:17" x14ac:dyDescent="0.25">
      <c r="A97" t="s">
        <v>896</v>
      </c>
      <c r="B97" t="s">
        <v>154</v>
      </c>
      <c r="C97" t="s">
        <v>164</v>
      </c>
      <c r="D97" t="b">
        <v>1</v>
      </c>
      <c r="E97" s="13">
        <v>1</v>
      </c>
      <c r="F97" s="13">
        <v>0</v>
      </c>
      <c r="G97" s="14">
        <v>0</v>
      </c>
      <c r="H97" s="15">
        <v>-0.1227</v>
      </c>
      <c r="I97">
        <v>8</v>
      </c>
      <c r="J97" s="16">
        <v>71.5</v>
      </c>
      <c r="K97" t="b">
        <v>0</v>
      </c>
      <c r="L97" t="s">
        <v>142</v>
      </c>
      <c r="N97">
        <v>30</v>
      </c>
      <c r="O97" s="12">
        <v>43177</v>
      </c>
      <c r="P97" s="12">
        <v>43171</v>
      </c>
      <c r="Q97" s="12">
        <v>43177</v>
      </c>
    </row>
    <row r="98" spans="1:17" x14ac:dyDescent="0.25">
      <c r="A98" t="s">
        <v>897</v>
      </c>
      <c r="B98" t="s">
        <v>154</v>
      </c>
      <c r="C98" t="s">
        <v>156</v>
      </c>
      <c r="D98" t="b">
        <v>1</v>
      </c>
      <c r="E98" s="13">
        <v>1</v>
      </c>
      <c r="F98" s="13">
        <v>0</v>
      </c>
      <c r="G98" s="14">
        <v>0</v>
      </c>
      <c r="H98" s="15">
        <v>-0.1227</v>
      </c>
      <c r="I98">
        <v>35</v>
      </c>
      <c r="J98" s="16">
        <v>160</v>
      </c>
      <c r="K98" t="b">
        <v>0</v>
      </c>
      <c r="L98" t="s">
        <v>142</v>
      </c>
      <c r="N98">
        <v>30</v>
      </c>
      <c r="O98" s="12">
        <v>43177</v>
      </c>
      <c r="P98" s="12">
        <v>43171</v>
      </c>
      <c r="Q98" s="12">
        <v>43177</v>
      </c>
    </row>
    <row r="99" spans="1:17" x14ac:dyDescent="0.25">
      <c r="A99" t="s">
        <v>898</v>
      </c>
      <c r="B99" t="s">
        <v>154</v>
      </c>
      <c r="C99" t="s">
        <v>122</v>
      </c>
      <c r="D99" t="b">
        <v>1</v>
      </c>
      <c r="E99" s="13">
        <v>1</v>
      </c>
      <c r="F99" s="13">
        <v>0</v>
      </c>
      <c r="G99" s="14">
        <v>0</v>
      </c>
      <c r="H99" s="15">
        <v>-0.1227</v>
      </c>
      <c r="I99">
        <v>8</v>
      </c>
      <c r="J99" s="16">
        <v>95.9</v>
      </c>
      <c r="K99" t="b">
        <v>0</v>
      </c>
      <c r="L99" t="s">
        <v>142</v>
      </c>
      <c r="N99">
        <v>30</v>
      </c>
      <c r="O99" s="12">
        <v>43177</v>
      </c>
      <c r="P99" s="12">
        <v>43171</v>
      </c>
      <c r="Q99" s="12">
        <v>43177</v>
      </c>
    </row>
    <row r="100" spans="1:17" x14ac:dyDescent="0.25">
      <c r="A100" t="s">
        <v>899</v>
      </c>
      <c r="B100" t="s">
        <v>154</v>
      </c>
      <c r="C100" t="s">
        <v>121</v>
      </c>
      <c r="D100" t="b">
        <v>1</v>
      </c>
      <c r="E100" s="13">
        <v>1</v>
      </c>
      <c r="F100" s="13">
        <v>0</v>
      </c>
      <c r="G100" s="14">
        <v>0</v>
      </c>
      <c r="H100" s="15">
        <v>-0.1227</v>
      </c>
      <c r="I100">
        <v>8</v>
      </c>
      <c r="J100" s="16">
        <v>80</v>
      </c>
      <c r="K100" t="b">
        <v>0</v>
      </c>
      <c r="L100" t="s">
        <v>142</v>
      </c>
      <c r="N100">
        <v>30</v>
      </c>
      <c r="O100" s="12">
        <v>43177</v>
      </c>
      <c r="P100" s="12">
        <v>43171</v>
      </c>
      <c r="Q100" s="12">
        <v>43177</v>
      </c>
    </row>
    <row r="101" spans="1:17" x14ac:dyDescent="0.25">
      <c r="A101" t="s">
        <v>900</v>
      </c>
      <c r="B101" t="s">
        <v>148</v>
      </c>
      <c r="C101" t="s">
        <v>146</v>
      </c>
      <c r="D101" t="b">
        <v>1</v>
      </c>
      <c r="E101" s="13">
        <v>1</v>
      </c>
      <c r="F101" s="13">
        <v>0</v>
      </c>
      <c r="G101" s="14">
        <v>0</v>
      </c>
      <c r="H101" s="15">
        <v>-0.1227</v>
      </c>
      <c r="I101">
        <v>8</v>
      </c>
      <c r="J101" s="16">
        <v>209.99</v>
      </c>
      <c r="K101" t="b">
        <v>0</v>
      </c>
      <c r="L101" t="s">
        <v>142</v>
      </c>
      <c r="N101">
        <v>30</v>
      </c>
      <c r="O101" s="12">
        <v>43177</v>
      </c>
      <c r="P101" s="12">
        <v>43171</v>
      </c>
      <c r="Q101" s="12">
        <v>43177</v>
      </c>
    </row>
    <row r="102" spans="1:17" x14ac:dyDescent="0.25">
      <c r="A102" t="s">
        <v>901</v>
      </c>
      <c r="B102" t="s">
        <v>148</v>
      </c>
      <c r="C102" t="s">
        <v>160</v>
      </c>
      <c r="D102" t="b">
        <v>1</v>
      </c>
      <c r="E102" s="13">
        <v>1</v>
      </c>
      <c r="F102" s="13">
        <v>0</v>
      </c>
      <c r="G102" s="14">
        <v>0</v>
      </c>
      <c r="H102" s="15">
        <v>-0.1227</v>
      </c>
      <c r="I102">
        <v>8</v>
      </c>
      <c r="J102" s="16">
        <v>149.9</v>
      </c>
      <c r="K102" t="b">
        <v>0</v>
      </c>
      <c r="L102" t="s">
        <v>142</v>
      </c>
      <c r="N102">
        <v>30</v>
      </c>
      <c r="O102" s="12">
        <v>43177</v>
      </c>
      <c r="P102" s="12">
        <v>43171</v>
      </c>
      <c r="Q102" s="12">
        <v>43177</v>
      </c>
    </row>
    <row r="103" spans="1:17" x14ac:dyDescent="0.25">
      <c r="A103" t="s">
        <v>218</v>
      </c>
      <c r="B103" t="s">
        <v>148</v>
      </c>
      <c r="C103" t="s">
        <v>131</v>
      </c>
      <c r="D103" t="b">
        <v>1</v>
      </c>
      <c r="E103" s="13">
        <v>1</v>
      </c>
      <c r="F103" s="13">
        <v>0</v>
      </c>
      <c r="G103" s="14">
        <v>0</v>
      </c>
      <c r="H103" s="15">
        <v>-0.1227</v>
      </c>
      <c r="I103">
        <v>24</v>
      </c>
      <c r="J103" s="16">
        <v>149.9</v>
      </c>
      <c r="K103" t="b">
        <v>0</v>
      </c>
      <c r="L103" t="s">
        <v>142</v>
      </c>
      <c r="N103">
        <v>30</v>
      </c>
      <c r="O103" s="12">
        <v>43177</v>
      </c>
      <c r="P103" s="12">
        <v>43171</v>
      </c>
      <c r="Q103" s="12">
        <v>43177</v>
      </c>
    </row>
    <row r="104" spans="1:17" x14ac:dyDescent="0.25">
      <c r="A104" t="s">
        <v>902</v>
      </c>
      <c r="B104" t="s">
        <v>148</v>
      </c>
      <c r="C104" t="s">
        <v>164</v>
      </c>
      <c r="D104" t="b">
        <v>1</v>
      </c>
      <c r="E104" s="13">
        <v>1</v>
      </c>
      <c r="F104" s="13">
        <v>0</v>
      </c>
      <c r="G104" s="14">
        <v>0</v>
      </c>
      <c r="H104" s="15">
        <v>-0.1227</v>
      </c>
      <c r="I104">
        <v>11</v>
      </c>
      <c r="J104" s="16">
        <v>149.9</v>
      </c>
      <c r="K104" t="b">
        <v>0</v>
      </c>
      <c r="L104" t="s">
        <v>142</v>
      </c>
      <c r="N104">
        <v>30</v>
      </c>
      <c r="O104" s="12">
        <v>43177</v>
      </c>
      <c r="P104" s="12">
        <v>43171</v>
      </c>
      <c r="Q104" s="12">
        <v>43177</v>
      </c>
    </row>
    <row r="105" spans="1:17" x14ac:dyDescent="0.25">
      <c r="A105" t="s">
        <v>903</v>
      </c>
      <c r="B105" t="s">
        <v>148</v>
      </c>
      <c r="C105" t="s">
        <v>125</v>
      </c>
      <c r="D105" t="b">
        <v>1</v>
      </c>
      <c r="E105" s="13">
        <v>1</v>
      </c>
      <c r="F105" s="13">
        <v>0</v>
      </c>
      <c r="G105" s="14">
        <v>0</v>
      </c>
      <c r="H105" s="15">
        <v>-0.1227</v>
      </c>
      <c r="I105">
        <v>27</v>
      </c>
      <c r="J105" s="16">
        <v>149.9</v>
      </c>
      <c r="K105" t="b">
        <v>0</v>
      </c>
      <c r="L105" t="s">
        <v>142</v>
      </c>
      <c r="N105">
        <v>30</v>
      </c>
      <c r="O105" s="12">
        <v>43177</v>
      </c>
      <c r="P105" s="12">
        <v>43171</v>
      </c>
      <c r="Q105" s="12">
        <v>43177</v>
      </c>
    </row>
    <row r="106" spans="1:17" x14ac:dyDescent="0.25">
      <c r="A106" t="s">
        <v>904</v>
      </c>
      <c r="B106" t="s">
        <v>148</v>
      </c>
      <c r="C106" t="s">
        <v>191</v>
      </c>
      <c r="D106" t="b">
        <v>1</v>
      </c>
      <c r="E106" s="13">
        <v>1</v>
      </c>
      <c r="F106" s="13">
        <v>0</v>
      </c>
      <c r="G106" s="14">
        <v>0</v>
      </c>
      <c r="H106" s="15">
        <v>-0.1227</v>
      </c>
      <c r="I106">
        <v>15</v>
      </c>
      <c r="J106" s="16">
        <v>149.9</v>
      </c>
      <c r="K106" t="b">
        <v>0</v>
      </c>
      <c r="L106" t="s">
        <v>142</v>
      </c>
      <c r="N106">
        <v>30</v>
      </c>
      <c r="O106" s="12">
        <v>43177</v>
      </c>
      <c r="P106" s="12">
        <v>43171</v>
      </c>
      <c r="Q106" s="12">
        <v>43177</v>
      </c>
    </row>
    <row r="107" spans="1:17" x14ac:dyDescent="0.25">
      <c r="A107" t="s">
        <v>905</v>
      </c>
      <c r="B107" t="s">
        <v>189</v>
      </c>
      <c r="C107" t="s">
        <v>189</v>
      </c>
      <c r="D107" t="b">
        <v>0</v>
      </c>
      <c r="E107" s="13">
        <v>1</v>
      </c>
      <c r="F107" s="13">
        <v>0</v>
      </c>
      <c r="G107" s="14">
        <v>0</v>
      </c>
      <c r="H107" s="15">
        <v>-0.1227</v>
      </c>
      <c r="I107">
        <v>2</v>
      </c>
      <c r="J107" s="16">
        <v>295</v>
      </c>
      <c r="K107" t="b">
        <v>0</v>
      </c>
      <c r="L107" t="s">
        <v>142</v>
      </c>
      <c r="N107">
        <v>30</v>
      </c>
      <c r="O107" s="12">
        <v>43177</v>
      </c>
      <c r="P107" s="12">
        <v>43171</v>
      </c>
      <c r="Q107" s="12">
        <v>43177</v>
      </c>
    </row>
    <row r="108" spans="1:17" x14ac:dyDescent="0.25">
      <c r="A108" t="s">
        <v>906</v>
      </c>
      <c r="B108" t="s">
        <v>189</v>
      </c>
      <c r="C108" t="s">
        <v>125</v>
      </c>
      <c r="D108" t="b">
        <v>1</v>
      </c>
      <c r="E108" s="13">
        <v>1</v>
      </c>
      <c r="F108" s="13">
        <v>0</v>
      </c>
      <c r="G108" s="14">
        <v>0</v>
      </c>
      <c r="H108" s="15">
        <v>-0.1227</v>
      </c>
      <c r="I108">
        <v>26</v>
      </c>
      <c r="J108" s="16">
        <v>295</v>
      </c>
      <c r="K108" t="b">
        <v>0</v>
      </c>
      <c r="L108" t="s">
        <v>142</v>
      </c>
      <c r="N108">
        <v>30</v>
      </c>
      <c r="O108" s="12">
        <v>43177</v>
      </c>
      <c r="P108" s="12">
        <v>43171</v>
      </c>
      <c r="Q108" s="12">
        <v>43177</v>
      </c>
    </row>
    <row r="109" spans="1:17" x14ac:dyDescent="0.25">
      <c r="A109" t="s">
        <v>219</v>
      </c>
      <c r="B109" t="s">
        <v>135</v>
      </c>
      <c r="C109" t="s">
        <v>152</v>
      </c>
      <c r="D109" t="b">
        <v>1</v>
      </c>
      <c r="E109" s="13">
        <v>1</v>
      </c>
      <c r="F109" s="13">
        <v>0</v>
      </c>
      <c r="G109" s="14">
        <v>0</v>
      </c>
      <c r="H109" s="15">
        <v>-0.1227</v>
      </c>
      <c r="I109">
        <v>12</v>
      </c>
      <c r="J109" s="16">
        <v>329</v>
      </c>
      <c r="K109" t="b">
        <v>0</v>
      </c>
      <c r="L109" t="s">
        <v>142</v>
      </c>
      <c r="N109">
        <v>30</v>
      </c>
      <c r="O109" s="12">
        <v>43177</v>
      </c>
      <c r="P109" s="12">
        <v>43171</v>
      </c>
      <c r="Q109" s="12">
        <v>43177</v>
      </c>
    </row>
    <row r="110" spans="1:17" x14ac:dyDescent="0.25">
      <c r="A110" t="s">
        <v>220</v>
      </c>
      <c r="B110" t="s">
        <v>135</v>
      </c>
      <c r="C110" t="s">
        <v>160</v>
      </c>
      <c r="D110" t="b">
        <v>1</v>
      </c>
      <c r="E110" s="13">
        <v>1</v>
      </c>
      <c r="F110" s="13">
        <v>0</v>
      </c>
      <c r="G110" s="14">
        <v>0</v>
      </c>
      <c r="H110" s="15">
        <v>-0.1227</v>
      </c>
      <c r="I110">
        <v>22</v>
      </c>
      <c r="J110" s="16">
        <v>119.9</v>
      </c>
      <c r="K110" t="b">
        <v>0</v>
      </c>
      <c r="L110" t="s">
        <v>142</v>
      </c>
      <c r="N110">
        <v>30</v>
      </c>
      <c r="O110" s="12">
        <v>43177</v>
      </c>
      <c r="P110" s="12">
        <v>43171</v>
      </c>
      <c r="Q110" s="12">
        <v>43177</v>
      </c>
    </row>
    <row r="111" spans="1:17" x14ac:dyDescent="0.25">
      <c r="A111" t="s">
        <v>221</v>
      </c>
      <c r="B111" t="s">
        <v>135</v>
      </c>
      <c r="C111" t="s">
        <v>148</v>
      </c>
      <c r="D111" t="b">
        <v>1</v>
      </c>
      <c r="E111" s="13">
        <v>1</v>
      </c>
      <c r="F111" s="13">
        <v>0</v>
      </c>
      <c r="G111" s="14">
        <v>0</v>
      </c>
      <c r="H111" s="15">
        <v>-0.1227</v>
      </c>
      <c r="I111">
        <v>8</v>
      </c>
      <c r="J111" s="16">
        <v>359</v>
      </c>
      <c r="K111" t="b">
        <v>0</v>
      </c>
      <c r="L111" t="s">
        <v>142</v>
      </c>
      <c r="N111">
        <v>30</v>
      </c>
      <c r="O111" s="12">
        <v>43177</v>
      </c>
      <c r="P111" s="12">
        <v>43171</v>
      </c>
      <c r="Q111" s="12">
        <v>43177</v>
      </c>
    </row>
    <row r="112" spans="1:17" x14ac:dyDescent="0.25">
      <c r="A112" t="s">
        <v>222</v>
      </c>
      <c r="B112" t="s">
        <v>122</v>
      </c>
      <c r="C112" t="s">
        <v>148</v>
      </c>
      <c r="D112" t="b">
        <v>1</v>
      </c>
      <c r="E112" s="13">
        <v>1</v>
      </c>
      <c r="F112" s="13">
        <v>0</v>
      </c>
      <c r="G112" s="14">
        <v>0</v>
      </c>
      <c r="H112" s="15">
        <v>-0.1227</v>
      </c>
      <c r="I112">
        <v>22</v>
      </c>
      <c r="J112" s="16">
        <v>119.9</v>
      </c>
      <c r="K112" t="b">
        <v>0</v>
      </c>
      <c r="L112" t="s">
        <v>142</v>
      </c>
      <c r="N112">
        <v>30</v>
      </c>
      <c r="O112" s="12">
        <v>43177</v>
      </c>
      <c r="P112" s="12">
        <v>43171</v>
      </c>
      <c r="Q112" s="12">
        <v>43177</v>
      </c>
    </row>
    <row r="113" spans="1:17" x14ac:dyDescent="0.25">
      <c r="A113" t="s">
        <v>907</v>
      </c>
      <c r="B113" t="s">
        <v>122</v>
      </c>
      <c r="C113" t="s">
        <v>125</v>
      </c>
      <c r="D113" t="b">
        <v>1</v>
      </c>
      <c r="E113" s="13">
        <v>1</v>
      </c>
      <c r="F113" s="13">
        <v>0</v>
      </c>
      <c r="G113" s="14">
        <v>0</v>
      </c>
      <c r="H113" s="15">
        <v>-0.1227</v>
      </c>
      <c r="I113">
        <v>14</v>
      </c>
      <c r="J113" s="16">
        <v>55.9</v>
      </c>
      <c r="K113" t="b">
        <v>0</v>
      </c>
      <c r="L113" t="s">
        <v>142</v>
      </c>
      <c r="N113">
        <v>30</v>
      </c>
      <c r="O113" s="12">
        <v>43177</v>
      </c>
      <c r="P113" s="12">
        <v>43171</v>
      </c>
      <c r="Q113" s="12">
        <v>43177</v>
      </c>
    </row>
    <row r="114" spans="1:17" x14ac:dyDescent="0.25">
      <c r="A114" t="s">
        <v>908</v>
      </c>
      <c r="B114" t="s">
        <v>138</v>
      </c>
      <c r="C114" t="s">
        <v>148</v>
      </c>
      <c r="D114" t="b">
        <v>1</v>
      </c>
      <c r="E114" s="13">
        <v>1</v>
      </c>
      <c r="F114" s="13">
        <v>0</v>
      </c>
      <c r="G114" s="14">
        <v>0</v>
      </c>
      <c r="H114" s="15">
        <v>-0.1227</v>
      </c>
      <c r="I114">
        <v>12</v>
      </c>
      <c r="J114" s="16">
        <v>59.98</v>
      </c>
      <c r="K114" t="b">
        <v>0</v>
      </c>
      <c r="L114" t="s">
        <v>142</v>
      </c>
      <c r="N114">
        <v>30</v>
      </c>
      <c r="O114" s="12">
        <v>43177</v>
      </c>
      <c r="P114" s="12">
        <v>43171</v>
      </c>
      <c r="Q114" s="12">
        <v>43177</v>
      </c>
    </row>
    <row r="115" spans="1:17" x14ac:dyDescent="0.25">
      <c r="A115" t="s">
        <v>223</v>
      </c>
      <c r="B115" t="s">
        <v>138</v>
      </c>
      <c r="C115" t="s">
        <v>122</v>
      </c>
      <c r="D115" t="b">
        <v>1</v>
      </c>
      <c r="E115" s="13">
        <v>1</v>
      </c>
      <c r="F115" s="13">
        <v>0</v>
      </c>
      <c r="G115" s="14">
        <v>0</v>
      </c>
      <c r="H115" s="15">
        <v>-0.1227</v>
      </c>
      <c r="I115">
        <v>8</v>
      </c>
      <c r="J115" s="16">
        <v>79.900000000000006</v>
      </c>
      <c r="K115" t="b">
        <v>0</v>
      </c>
      <c r="L115" t="s">
        <v>142</v>
      </c>
      <c r="N115">
        <v>30</v>
      </c>
      <c r="O115" s="12">
        <v>43177</v>
      </c>
      <c r="P115" s="12">
        <v>43171</v>
      </c>
      <c r="Q115" s="12">
        <v>43177</v>
      </c>
    </row>
    <row r="116" spans="1:17" x14ac:dyDescent="0.25">
      <c r="A116" t="s">
        <v>909</v>
      </c>
      <c r="B116" t="s">
        <v>125</v>
      </c>
      <c r="C116" t="s">
        <v>152</v>
      </c>
      <c r="D116" t="b">
        <v>1</v>
      </c>
      <c r="E116" s="13">
        <v>1</v>
      </c>
      <c r="F116" s="13">
        <v>1</v>
      </c>
      <c r="G116" s="14">
        <v>1</v>
      </c>
      <c r="H116" s="15">
        <v>0.87729999999999997</v>
      </c>
      <c r="I116">
        <v>71</v>
      </c>
      <c r="J116" s="16">
        <v>249.99</v>
      </c>
      <c r="K116" t="b">
        <v>0</v>
      </c>
      <c r="L116" t="s">
        <v>142</v>
      </c>
      <c r="N116">
        <v>30</v>
      </c>
      <c r="O116" s="12">
        <v>43177</v>
      </c>
      <c r="P116" s="12">
        <v>43171</v>
      </c>
      <c r="Q116" s="12">
        <v>43177</v>
      </c>
    </row>
    <row r="117" spans="1:17" x14ac:dyDescent="0.25">
      <c r="A117" t="s">
        <v>224</v>
      </c>
      <c r="B117" t="s">
        <v>125</v>
      </c>
      <c r="C117" t="s">
        <v>148</v>
      </c>
      <c r="D117" t="b">
        <v>1</v>
      </c>
      <c r="E117" s="13">
        <v>1</v>
      </c>
      <c r="F117" s="13">
        <v>0</v>
      </c>
      <c r="G117" s="14">
        <v>0</v>
      </c>
      <c r="H117" s="15">
        <v>-0.1227</v>
      </c>
      <c r="I117">
        <v>28</v>
      </c>
      <c r="J117" s="16">
        <v>219.9</v>
      </c>
      <c r="K117" t="b">
        <v>0</v>
      </c>
      <c r="L117" t="s">
        <v>142</v>
      </c>
      <c r="N117">
        <v>30</v>
      </c>
      <c r="O117" s="12">
        <v>43177</v>
      </c>
      <c r="P117" s="12">
        <v>43171</v>
      </c>
      <c r="Q117" s="12">
        <v>43177</v>
      </c>
    </row>
    <row r="118" spans="1:17" x14ac:dyDescent="0.25">
      <c r="A118" t="s">
        <v>910</v>
      </c>
      <c r="B118" t="s">
        <v>125</v>
      </c>
      <c r="C118" t="s">
        <v>202</v>
      </c>
      <c r="D118" t="b">
        <v>1</v>
      </c>
      <c r="E118" s="13">
        <v>1</v>
      </c>
      <c r="F118" s="13">
        <v>0</v>
      </c>
      <c r="G118" s="14">
        <v>0</v>
      </c>
      <c r="H118" s="15">
        <v>-0.1227</v>
      </c>
      <c r="I118">
        <v>21</v>
      </c>
      <c r="J118" s="16">
        <v>132</v>
      </c>
      <c r="K118" t="b">
        <v>0</v>
      </c>
      <c r="L118" t="s">
        <v>142</v>
      </c>
      <c r="N118">
        <v>30</v>
      </c>
      <c r="O118" s="12">
        <v>43177</v>
      </c>
      <c r="P118" s="12">
        <v>43171</v>
      </c>
      <c r="Q118" s="12">
        <v>43177</v>
      </c>
    </row>
    <row r="119" spans="1:17" x14ac:dyDescent="0.25">
      <c r="A119" t="s">
        <v>225</v>
      </c>
      <c r="B119" t="s">
        <v>121</v>
      </c>
      <c r="C119" t="s">
        <v>226</v>
      </c>
      <c r="D119" t="b">
        <v>1</v>
      </c>
      <c r="E119" s="13">
        <v>1</v>
      </c>
      <c r="F119" s="13">
        <v>0</v>
      </c>
      <c r="G119" s="14">
        <v>0</v>
      </c>
      <c r="H119" s="15">
        <v>-0.1227</v>
      </c>
      <c r="I119">
        <v>33</v>
      </c>
      <c r="J119" s="16">
        <v>13.65</v>
      </c>
      <c r="K119" t="b">
        <v>0</v>
      </c>
      <c r="L119" t="s">
        <v>142</v>
      </c>
      <c r="N119">
        <v>30</v>
      </c>
      <c r="O119" s="12">
        <v>43177</v>
      </c>
      <c r="P119" s="12">
        <v>43171</v>
      </c>
      <c r="Q119" s="12">
        <v>43177</v>
      </c>
    </row>
    <row r="120" spans="1:17" x14ac:dyDescent="0.25">
      <c r="A120" t="s">
        <v>227</v>
      </c>
      <c r="B120" t="s">
        <v>121</v>
      </c>
      <c r="C120" t="s">
        <v>228</v>
      </c>
      <c r="D120" t="b">
        <v>1</v>
      </c>
      <c r="E120" s="13">
        <v>1</v>
      </c>
      <c r="F120" s="13">
        <v>0</v>
      </c>
      <c r="G120" s="14">
        <v>0</v>
      </c>
      <c r="H120" s="15">
        <v>-0.1227</v>
      </c>
      <c r="I120">
        <v>25</v>
      </c>
      <c r="J120" s="16">
        <v>29.99</v>
      </c>
      <c r="K120" t="b">
        <v>0</v>
      </c>
      <c r="L120" t="s">
        <v>142</v>
      </c>
      <c r="N120">
        <v>30</v>
      </c>
      <c r="O120" s="12">
        <v>43177</v>
      </c>
      <c r="P120" s="12">
        <v>43171</v>
      </c>
      <c r="Q120" s="12">
        <v>43177</v>
      </c>
    </row>
    <row r="121" spans="1:17" x14ac:dyDescent="0.25">
      <c r="A121" t="s">
        <v>911</v>
      </c>
      <c r="B121" t="s">
        <v>121</v>
      </c>
      <c r="C121" t="s">
        <v>912</v>
      </c>
      <c r="D121" t="b">
        <v>1</v>
      </c>
      <c r="E121" s="13">
        <v>1</v>
      </c>
      <c r="F121" s="13">
        <v>0</v>
      </c>
      <c r="G121" s="14">
        <v>0</v>
      </c>
      <c r="H121" s="15">
        <v>-0.1227</v>
      </c>
      <c r="I121">
        <v>39</v>
      </c>
      <c r="J121" s="16">
        <v>29.99</v>
      </c>
      <c r="K121" t="b">
        <v>0</v>
      </c>
      <c r="L121" t="s">
        <v>142</v>
      </c>
      <c r="N121">
        <v>30</v>
      </c>
      <c r="O121" s="12">
        <v>43177</v>
      </c>
      <c r="P121" s="12">
        <v>43171</v>
      </c>
      <c r="Q121" s="12">
        <v>43177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EDEE-9C15-4F51-BF38-7019B784A10C}">
  <dimension ref="A1:AA606"/>
  <sheetViews>
    <sheetView workbookViewId="0">
      <pane ySplit="4" topLeftCell="A5" activePane="bottomLeft" state="frozen"/>
      <selection pane="bottomLeft" activeCell="A5" sqref="A5"/>
    </sheetView>
  </sheetViews>
  <sheetFormatPr defaultRowHeight="13.5" x14ac:dyDescent="0.25"/>
  <cols>
    <col min="1" max="1" width="16.296875" bestFit="1" customWidth="1"/>
    <col min="2" max="2" width="10.8984375" bestFit="1" customWidth="1"/>
    <col min="3" max="3" width="18.19921875" bestFit="1" customWidth="1"/>
    <col min="4" max="4" width="10.3984375" bestFit="1" customWidth="1"/>
    <col min="5" max="5" width="48.69921875" customWidth="1"/>
    <col min="6" max="6" width="34.69921875" customWidth="1"/>
    <col min="7" max="7" width="17.19921875" bestFit="1" customWidth="1"/>
    <col min="8" max="8" width="27.3984375" bestFit="1" customWidth="1"/>
    <col min="9" max="9" width="16.59765625" bestFit="1" customWidth="1"/>
    <col min="10" max="10" width="16.19921875" bestFit="1" customWidth="1"/>
    <col min="11" max="11" width="22.8984375" bestFit="1" customWidth="1"/>
    <col min="12" max="12" width="25.296875" bestFit="1" customWidth="1"/>
    <col min="13" max="13" width="33.5" bestFit="1" customWidth="1"/>
    <col min="14" max="14" width="11.09765625" bestFit="1" customWidth="1"/>
    <col min="15" max="15" width="12.09765625" bestFit="1" customWidth="1"/>
    <col min="16" max="16" width="34.69921875" customWidth="1"/>
    <col min="17" max="17" width="20.3984375" bestFit="1" customWidth="1"/>
    <col min="18" max="18" width="16" bestFit="1" customWidth="1"/>
    <col min="19" max="19" width="18" bestFit="1" customWidth="1"/>
    <col min="20" max="20" width="17.19921875" bestFit="1" customWidth="1"/>
    <col min="21" max="21" width="16.3984375" bestFit="1" customWidth="1"/>
    <col min="22" max="22" width="18" bestFit="1" customWidth="1"/>
    <col min="23" max="24" width="48.69921875" customWidth="1"/>
    <col min="25" max="25" width="13.796875" bestFit="1" customWidth="1"/>
    <col min="26" max="26" width="16.59765625" bestFit="1" customWidth="1"/>
    <col min="27" max="27" width="15.69921875" bestFit="1" customWidth="1"/>
  </cols>
  <sheetData>
    <row r="1" spans="1:27" ht="17.5" x14ac:dyDescent="0.25">
      <c r="A1" s="11" t="s">
        <v>24</v>
      </c>
    </row>
    <row r="2" spans="1:27" x14ac:dyDescent="0.25">
      <c r="A2" s="1" t="s">
        <v>229</v>
      </c>
    </row>
    <row r="4" spans="1:27" x14ac:dyDescent="0.25">
      <c r="A4" t="s">
        <v>230</v>
      </c>
      <c r="B4" t="s">
        <v>231</v>
      </c>
      <c r="C4" t="s">
        <v>232</v>
      </c>
      <c r="D4" t="s">
        <v>233</v>
      </c>
      <c r="E4" t="s">
        <v>234</v>
      </c>
      <c r="F4" t="s">
        <v>235</v>
      </c>
      <c r="G4" s="12" t="s">
        <v>236</v>
      </c>
      <c r="H4" s="12" t="s">
        <v>237</v>
      </c>
      <c r="I4" t="s">
        <v>238</v>
      </c>
      <c r="J4" s="12" t="s">
        <v>239</v>
      </c>
      <c r="K4" t="s">
        <v>240</v>
      </c>
      <c r="L4" s="12" t="s">
        <v>241</v>
      </c>
      <c r="M4" t="s">
        <v>242</v>
      </c>
      <c r="N4" t="s">
        <v>243</v>
      </c>
      <c r="O4" t="s">
        <v>244</v>
      </c>
      <c r="P4" t="s">
        <v>245</v>
      </c>
      <c r="Q4" t="s">
        <v>246</v>
      </c>
      <c r="R4" t="s">
        <v>247</v>
      </c>
      <c r="S4" t="s">
        <v>248</v>
      </c>
      <c r="T4" s="16" t="s">
        <v>115</v>
      </c>
      <c r="U4" s="16" t="s">
        <v>249</v>
      </c>
      <c r="V4" s="16" t="s">
        <v>250</v>
      </c>
      <c r="W4" t="s">
        <v>251</v>
      </c>
      <c r="X4" t="s">
        <v>252</v>
      </c>
      <c r="Y4" s="12" t="s">
        <v>49</v>
      </c>
      <c r="Z4" s="12" t="s">
        <v>50</v>
      </c>
      <c r="AA4" s="12" t="s">
        <v>51</v>
      </c>
    </row>
    <row r="5" spans="1:27" x14ac:dyDescent="0.25">
      <c r="A5">
        <v>1</v>
      </c>
      <c r="B5" s="19" t="s">
        <v>253</v>
      </c>
      <c r="C5" s="19" t="s">
        <v>254</v>
      </c>
      <c r="D5" s="19" t="s">
        <v>255</v>
      </c>
      <c r="E5" s="19" t="s">
        <v>256</v>
      </c>
      <c r="F5" s="19" t="s">
        <v>257</v>
      </c>
      <c r="G5" s="12">
        <v>43115</v>
      </c>
      <c r="H5" s="12">
        <v>43150</v>
      </c>
      <c r="I5">
        <v>28</v>
      </c>
      <c r="J5" s="12">
        <v>43123</v>
      </c>
      <c r="K5" t="b">
        <v>1</v>
      </c>
      <c r="L5" s="12"/>
      <c r="M5" t="b">
        <v>0</v>
      </c>
      <c r="N5">
        <v>4</v>
      </c>
      <c r="O5">
        <v>1</v>
      </c>
      <c r="P5" s="19" t="s">
        <v>258</v>
      </c>
      <c r="Q5" s="19" t="s">
        <v>259</v>
      </c>
      <c r="R5" s="19" t="s">
        <v>121</v>
      </c>
      <c r="S5" s="19" t="s">
        <v>178</v>
      </c>
      <c r="T5" s="16">
        <v>124.8</v>
      </c>
      <c r="U5" s="16">
        <v>142.68</v>
      </c>
      <c r="V5" s="16">
        <v>267.48</v>
      </c>
      <c r="W5" s="19" t="s">
        <v>913</v>
      </c>
      <c r="X5" s="19" t="s">
        <v>260</v>
      </c>
      <c r="Y5" s="12">
        <v>43177</v>
      </c>
      <c r="Z5" s="12">
        <v>43171</v>
      </c>
      <c r="AA5" s="12">
        <v>43177</v>
      </c>
    </row>
    <row r="6" spans="1:27" x14ac:dyDescent="0.25">
      <c r="A6">
        <v>2</v>
      </c>
      <c r="B6" s="19" t="s">
        <v>253</v>
      </c>
      <c r="C6" s="19" t="s">
        <v>254</v>
      </c>
      <c r="D6" s="19" t="s">
        <v>261</v>
      </c>
      <c r="E6" s="19" t="s">
        <v>262</v>
      </c>
      <c r="F6" s="19" t="s">
        <v>263</v>
      </c>
      <c r="G6" s="12">
        <v>43121</v>
      </c>
      <c r="H6" s="12">
        <v>43150</v>
      </c>
      <c r="I6">
        <v>28</v>
      </c>
      <c r="J6" s="12">
        <v>43126</v>
      </c>
      <c r="K6" t="b">
        <v>1</v>
      </c>
      <c r="L6" s="12">
        <v>43132</v>
      </c>
      <c r="M6" t="b">
        <v>0</v>
      </c>
      <c r="N6">
        <v>1</v>
      </c>
      <c r="O6">
        <v>1</v>
      </c>
      <c r="P6" s="19" t="s">
        <v>264</v>
      </c>
      <c r="Q6" s="19" t="s">
        <v>259</v>
      </c>
      <c r="R6" s="19" t="s">
        <v>121</v>
      </c>
      <c r="S6" s="19" t="s">
        <v>122</v>
      </c>
      <c r="T6" s="16">
        <v>120.9</v>
      </c>
      <c r="U6" s="16">
        <v>16.61</v>
      </c>
      <c r="V6" s="16">
        <v>137.51</v>
      </c>
      <c r="W6" s="19" t="s">
        <v>914</v>
      </c>
      <c r="X6" s="19" t="s">
        <v>265</v>
      </c>
      <c r="Y6" s="12">
        <v>43177</v>
      </c>
      <c r="Z6" s="12">
        <v>43171</v>
      </c>
      <c r="AA6" s="12">
        <v>43177</v>
      </c>
    </row>
    <row r="7" spans="1:27" x14ac:dyDescent="0.25">
      <c r="A7">
        <v>3</v>
      </c>
      <c r="B7" s="19" t="s">
        <v>253</v>
      </c>
      <c r="C7" s="19" t="s">
        <v>254</v>
      </c>
      <c r="D7" s="19" t="s">
        <v>261</v>
      </c>
      <c r="E7" s="19" t="s">
        <v>262</v>
      </c>
      <c r="F7" s="19" t="s">
        <v>266</v>
      </c>
      <c r="G7" s="12">
        <v>43122</v>
      </c>
      <c r="H7" s="12">
        <v>43150</v>
      </c>
      <c r="I7">
        <v>28</v>
      </c>
      <c r="J7" s="12">
        <v>43130</v>
      </c>
      <c r="K7" t="b">
        <v>1</v>
      </c>
      <c r="L7" s="12">
        <v>43123</v>
      </c>
      <c r="M7" t="b">
        <v>0</v>
      </c>
      <c r="N7">
        <v>2</v>
      </c>
      <c r="O7">
        <v>1</v>
      </c>
      <c r="P7" s="19" t="s">
        <v>267</v>
      </c>
      <c r="Q7" s="19" t="s">
        <v>259</v>
      </c>
      <c r="R7" s="19" t="s">
        <v>121</v>
      </c>
      <c r="S7" s="19" t="s">
        <v>122</v>
      </c>
      <c r="T7" s="16">
        <v>127.8</v>
      </c>
      <c r="U7" s="16">
        <v>50.58</v>
      </c>
      <c r="V7" s="16">
        <v>178.38</v>
      </c>
      <c r="W7" s="19" t="s">
        <v>915</v>
      </c>
      <c r="X7" s="19" t="s">
        <v>265</v>
      </c>
      <c r="Y7" s="12">
        <v>43177</v>
      </c>
      <c r="Z7" s="12">
        <v>43171</v>
      </c>
      <c r="AA7" s="12">
        <v>43177</v>
      </c>
    </row>
    <row r="8" spans="1:27" x14ac:dyDescent="0.25">
      <c r="A8">
        <v>4</v>
      </c>
      <c r="B8" s="19" t="s">
        <v>253</v>
      </c>
      <c r="C8" s="19" t="s">
        <v>254</v>
      </c>
      <c r="D8" s="19" t="s">
        <v>261</v>
      </c>
      <c r="E8" s="19" t="s">
        <v>262</v>
      </c>
      <c r="F8" s="19" t="s">
        <v>268</v>
      </c>
      <c r="G8" s="12">
        <v>43121</v>
      </c>
      <c r="H8" s="12">
        <v>43150</v>
      </c>
      <c r="I8">
        <v>28</v>
      </c>
      <c r="J8" s="12">
        <v>43130</v>
      </c>
      <c r="K8" t="b">
        <v>1</v>
      </c>
      <c r="L8" s="12">
        <v>43123</v>
      </c>
      <c r="M8" t="b">
        <v>0</v>
      </c>
      <c r="N8">
        <v>1</v>
      </c>
      <c r="O8">
        <v>1</v>
      </c>
      <c r="P8" s="19" t="s">
        <v>269</v>
      </c>
      <c r="Q8" s="19" t="s">
        <v>259</v>
      </c>
      <c r="R8" s="19" t="s">
        <v>121</v>
      </c>
      <c r="S8" s="19" t="s">
        <v>122</v>
      </c>
      <c r="T8" s="16">
        <v>59.7</v>
      </c>
      <c r="U8" s="16">
        <v>15.17</v>
      </c>
      <c r="V8" s="16">
        <v>74.87</v>
      </c>
      <c r="W8" s="19" t="s">
        <v>915</v>
      </c>
      <c r="X8" s="19" t="s">
        <v>265</v>
      </c>
      <c r="Y8" s="12">
        <v>43177</v>
      </c>
      <c r="Z8" s="12">
        <v>43171</v>
      </c>
      <c r="AA8" s="12">
        <v>43177</v>
      </c>
    </row>
    <row r="9" spans="1:27" x14ac:dyDescent="0.25">
      <c r="A9">
        <v>5</v>
      </c>
      <c r="B9" s="19" t="s">
        <v>253</v>
      </c>
      <c r="C9" s="19" t="s">
        <v>254</v>
      </c>
      <c r="D9" s="19" t="s">
        <v>255</v>
      </c>
      <c r="E9" s="19" t="s">
        <v>256</v>
      </c>
      <c r="F9" s="19" t="s">
        <v>270</v>
      </c>
      <c r="G9" s="12">
        <v>43117</v>
      </c>
      <c r="H9" s="12">
        <v>43150</v>
      </c>
      <c r="I9">
        <v>28</v>
      </c>
      <c r="J9" s="12">
        <v>43131</v>
      </c>
      <c r="K9" t="b">
        <v>1</v>
      </c>
      <c r="L9" s="12"/>
      <c r="M9" t="b">
        <v>0</v>
      </c>
      <c r="N9">
        <v>1</v>
      </c>
      <c r="O9">
        <v>1</v>
      </c>
      <c r="P9" s="19" t="s">
        <v>271</v>
      </c>
      <c r="Q9" s="19" t="s">
        <v>259</v>
      </c>
      <c r="R9" s="19" t="s">
        <v>131</v>
      </c>
      <c r="S9" s="19" t="s">
        <v>131</v>
      </c>
      <c r="T9" s="16">
        <v>164.9</v>
      </c>
      <c r="U9" s="16">
        <v>13.28</v>
      </c>
      <c r="V9" s="16">
        <v>178.18</v>
      </c>
      <c r="W9" s="19" t="s">
        <v>916</v>
      </c>
      <c r="X9" s="19" t="s">
        <v>260</v>
      </c>
      <c r="Y9" s="12">
        <v>43177</v>
      </c>
      <c r="Z9" s="12">
        <v>43171</v>
      </c>
      <c r="AA9" s="12">
        <v>43177</v>
      </c>
    </row>
    <row r="10" spans="1:27" x14ac:dyDescent="0.25">
      <c r="A10">
        <v>6</v>
      </c>
      <c r="B10" s="19" t="s">
        <v>253</v>
      </c>
      <c r="C10" s="19" t="s">
        <v>254</v>
      </c>
      <c r="D10" s="19" t="s">
        <v>255</v>
      </c>
      <c r="E10" s="19" t="s">
        <v>256</v>
      </c>
      <c r="F10" s="19" t="s">
        <v>272</v>
      </c>
      <c r="G10" s="12">
        <v>43124</v>
      </c>
      <c r="H10" s="12">
        <v>43150</v>
      </c>
      <c r="I10">
        <v>28</v>
      </c>
      <c r="J10" s="12">
        <v>43131</v>
      </c>
      <c r="K10" t="b">
        <v>1</v>
      </c>
      <c r="L10" s="12"/>
      <c r="M10" t="b">
        <v>0</v>
      </c>
      <c r="N10">
        <v>1</v>
      </c>
      <c r="O10">
        <v>1</v>
      </c>
      <c r="P10" s="19" t="s">
        <v>273</v>
      </c>
      <c r="Q10" s="19" t="s">
        <v>259</v>
      </c>
      <c r="R10" s="19" t="s">
        <v>121</v>
      </c>
      <c r="S10" s="19" t="s">
        <v>121</v>
      </c>
      <c r="T10" s="16">
        <v>59.9</v>
      </c>
      <c r="U10" s="16">
        <v>13.44</v>
      </c>
      <c r="V10" s="16">
        <v>73.34</v>
      </c>
      <c r="W10" s="19" t="s">
        <v>917</v>
      </c>
      <c r="X10" s="19" t="s">
        <v>260</v>
      </c>
      <c r="Y10" s="12">
        <v>43177</v>
      </c>
      <c r="Z10" s="12">
        <v>43171</v>
      </c>
      <c r="AA10" s="12">
        <v>43177</v>
      </c>
    </row>
    <row r="11" spans="1:27" x14ac:dyDescent="0.25">
      <c r="A11">
        <v>7</v>
      </c>
      <c r="B11" s="19" t="s">
        <v>253</v>
      </c>
      <c r="C11" s="19" t="s">
        <v>254</v>
      </c>
      <c r="D11" s="19" t="s">
        <v>261</v>
      </c>
      <c r="E11" s="19" t="s">
        <v>262</v>
      </c>
      <c r="F11" s="19" t="s">
        <v>274</v>
      </c>
      <c r="G11" s="12">
        <v>43125</v>
      </c>
      <c r="H11" s="12">
        <v>43150</v>
      </c>
      <c r="I11">
        <v>28</v>
      </c>
      <c r="J11" s="12">
        <v>43132</v>
      </c>
      <c r="K11" t="b">
        <v>1</v>
      </c>
      <c r="L11" s="12">
        <v>43126</v>
      </c>
      <c r="M11" t="b">
        <v>0</v>
      </c>
      <c r="N11">
        <v>1</v>
      </c>
      <c r="O11">
        <v>1</v>
      </c>
      <c r="P11" s="19" t="s">
        <v>275</v>
      </c>
      <c r="Q11" s="19" t="s">
        <v>259</v>
      </c>
      <c r="R11" s="19" t="s">
        <v>121</v>
      </c>
      <c r="S11" s="19" t="s">
        <v>122</v>
      </c>
      <c r="T11" s="16">
        <v>229</v>
      </c>
      <c r="U11" s="16">
        <v>22.44</v>
      </c>
      <c r="V11" s="16">
        <v>251.44</v>
      </c>
      <c r="W11" s="19" t="s">
        <v>918</v>
      </c>
      <c r="X11" s="19" t="s">
        <v>265</v>
      </c>
      <c r="Y11" s="12">
        <v>43177</v>
      </c>
      <c r="Z11" s="12">
        <v>43171</v>
      </c>
      <c r="AA11" s="12">
        <v>43177</v>
      </c>
    </row>
    <row r="12" spans="1:27" x14ac:dyDescent="0.25">
      <c r="A12">
        <v>8</v>
      </c>
      <c r="B12" s="19" t="s">
        <v>253</v>
      </c>
      <c r="C12" s="19" t="s">
        <v>254</v>
      </c>
      <c r="D12" s="19" t="s">
        <v>261</v>
      </c>
      <c r="E12" s="19" t="s">
        <v>262</v>
      </c>
      <c r="F12" s="19" t="s">
        <v>276</v>
      </c>
      <c r="G12" s="12">
        <v>43126</v>
      </c>
      <c r="H12" s="12">
        <v>43150</v>
      </c>
      <c r="I12">
        <v>28</v>
      </c>
      <c r="J12" s="12">
        <v>43132</v>
      </c>
      <c r="K12" t="b">
        <v>1</v>
      </c>
      <c r="L12" s="12">
        <v>43126</v>
      </c>
      <c r="M12" t="b">
        <v>0</v>
      </c>
      <c r="N12">
        <v>1</v>
      </c>
      <c r="O12">
        <v>1</v>
      </c>
      <c r="P12" s="19" t="s">
        <v>277</v>
      </c>
      <c r="Q12" s="19" t="s">
        <v>259</v>
      </c>
      <c r="R12" s="19" t="s">
        <v>121</v>
      </c>
      <c r="S12" s="19" t="s">
        <v>122</v>
      </c>
      <c r="T12" s="16">
        <v>135.9</v>
      </c>
      <c r="U12" s="16">
        <v>32.28</v>
      </c>
      <c r="V12" s="16">
        <v>168.18</v>
      </c>
      <c r="W12" s="19" t="s">
        <v>918</v>
      </c>
      <c r="X12" s="19" t="s">
        <v>265</v>
      </c>
      <c r="Y12" s="12">
        <v>43177</v>
      </c>
      <c r="Z12" s="12">
        <v>43171</v>
      </c>
      <c r="AA12" s="12">
        <v>43177</v>
      </c>
    </row>
    <row r="13" spans="1:27" x14ac:dyDescent="0.25">
      <c r="A13">
        <v>9</v>
      </c>
      <c r="B13" s="19" t="s">
        <v>253</v>
      </c>
      <c r="C13" s="19" t="s">
        <v>254</v>
      </c>
      <c r="D13" s="19" t="s">
        <v>261</v>
      </c>
      <c r="E13" s="19" t="s">
        <v>262</v>
      </c>
      <c r="F13" s="19" t="s">
        <v>278</v>
      </c>
      <c r="G13" s="12">
        <v>43126</v>
      </c>
      <c r="H13" s="12">
        <v>43150</v>
      </c>
      <c r="I13">
        <v>28</v>
      </c>
      <c r="J13" s="12">
        <v>43132</v>
      </c>
      <c r="K13" t="b">
        <v>1</v>
      </c>
      <c r="L13" s="12">
        <v>43126</v>
      </c>
      <c r="M13" t="b">
        <v>0</v>
      </c>
      <c r="N13">
        <v>1</v>
      </c>
      <c r="O13">
        <v>1</v>
      </c>
      <c r="P13" s="19" t="s">
        <v>279</v>
      </c>
      <c r="Q13" s="19" t="s">
        <v>259</v>
      </c>
      <c r="R13" s="19" t="s">
        <v>121</v>
      </c>
      <c r="S13" s="19" t="s">
        <v>121</v>
      </c>
      <c r="T13" s="16">
        <v>59.9</v>
      </c>
      <c r="U13" s="16">
        <v>12.76</v>
      </c>
      <c r="V13" s="16">
        <v>72.66</v>
      </c>
      <c r="W13" s="19" t="s">
        <v>918</v>
      </c>
      <c r="X13" s="19" t="s">
        <v>265</v>
      </c>
      <c r="Y13" s="12">
        <v>43177</v>
      </c>
      <c r="Z13" s="12">
        <v>43171</v>
      </c>
      <c r="AA13" s="12">
        <v>43177</v>
      </c>
    </row>
    <row r="14" spans="1:27" x14ac:dyDescent="0.25">
      <c r="A14">
        <v>10</v>
      </c>
      <c r="B14" s="19" t="s">
        <v>253</v>
      </c>
      <c r="C14" s="19" t="s">
        <v>254</v>
      </c>
      <c r="D14" s="19" t="s">
        <v>261</v>
      </c>
      <c r="E14" s="19" t="s">
        <v>262</v>
      </c>
      <c r="F14" s="19" t="s">
        <v>280</v>
      </c>
      <c r="G14" s="12">
        <v>43132</v>
      </c>
      <c r="H14" s="12">
        <v>43150</v>
      </c>
      <c r="I14">
        <v>28</v>
      </c>
      <c r="J14" s="12">
        <v>43138</v>
      </c>
      <c r="K14" t="b">
        <v>1</v>
      </c>
      <c r="L14" s="12">
        <v>43133</v>
      </c>
      <c r="M14" t="b">
        <v>0</v>
      </c>
      <c r="N14">
        <v>1</v>
      </c>
      <c r="O14">
        <v>1</v>
      </c>
      <c r="P14" s="19" t="s">
        <v>281</v>
      </c>
      <c r="Q14" s="19" t="s">
        <v>259</v>
      </c>
      <c r="R14" s="19" t="s">
        <v>121</v>
      </c>
      <c r="S14" s="19" t="s">
        <v>121</v>
      </c>
      <c r="T14" s="16">
        <v>78</v>
      </c>
      <c r="U14" s="16">
        <v>8.74</v>
      </c>
      <c r="V14" s="16">
        <v>86.74</v>
      </c>
      <c r="W14" s="19" t="s">
        <v>919</v>
      </c>
      <c r="X14" s="19" t="s">
        <v>265</v>
      </c>
      <c r="Y14" s="12">
        <v>43177</v>
      </c>
      <c r="Z14" s="12">
        <v>43171</v>
      </c>
      <c r="AA14" s="12">
        <v>43177</v>
      </c>
    </row>
    <row r="15" spans="1:27" x14ac:dyDescent="0.25">
      <c r="A15">
        <v>11</v>
      </c>
      <c r="B15" s="19" t="s">
        <v>253</v>
      </c>
      <c r="C15" s="19" t="s">
        <v>254</v>
      </c>
      <c r="D15" s="19" t="s">
        <v>261</v>
      </c>
      <c r="E15" s="19" t="s">
        <v>262</v>
      </c>
      <c r="F15" s="19" t="s">
        <v>282</v>
      </c>
      <c r="G15" s="12">
        <v>43132</v>
      </c>
      <c r="H15" s="12">
        <v>43150</v>
      </c>
      <c r="I15">
        <v>28</v>
      </c>
      <c r="J15" s="12">
        <v>43138</v>
      </c>
      <c r="K15" t="b">
        <v>1</v>
      </c>
      <c r="L15" s="12">
        <v>43136</v>
      </c>
      <c r="M15" t="b">
        <v>0</v>
      </c>
      <c r="N15">
        <v>1</v>
      </c>
      <c r="O15">
        <v>1</v>
      </c>
      <c r="P15" s="19" t="s">
        <v>283</v>
      </c>
      <c r="Q15" s="19" t="s">
        <v>259</v>
      </c>
      <c r="R15" s="19" t="s">
        <v>121</v>
      </c>
      <c r="S15" s="19" t="s">
        <v>121</v>
      </c>
      <c r="T15" s="16">
        <v>40.5</v>
      </c>
      <c r="U15" s="16">
        <v>13.08</v>
      </c>
      <c r="V15" s="16">
        <v>53.58</v>
      </c>
      <c r="W15" s="19" t="s">
        <v>920</v>
      </c>
      <c r="X15" s="19" t="s">
        <v>265</v>
      </c>
      <c r="Y15" s="12">
        <v>43177</v>
      </c>
      <c r="Z15" s="12">
        <v>43171</v>
      </c>
      <c r="AA15" s="12">
        <v>43177</v>
      </c>
    </row>
    <row r="16" spans="1:27" x14ac:dyDescent="0.25">
      <c r="A16">
        <v>12</v>
      </c>
      <c r="B16" s="19" t="s">
        <v>253</v>
      </c>
      <c r="C16" s="19" t="s">
        <v>254</v>
      </c>
      <c r="D16" s="19" t="s">
        <v>255</v>
      </c>
      <c r="E16" s="19" t="s">
        <v>256</v>
      </c>
      <c r="F16" s="19" t="s">
        <v>284</v>
      </c>
      <c r="G16" s="12">
        <v>43122</v>
      </c>
      <c r="H16" s="12">
        <v>43150</v>
      </c>
      <c r="I16">
        <v>28</v>
      </c>
      <c r="J16" s="12"/>
      <c r="K16" t="b">
        <v>1</v>
      </c>
      <c r="L16" s="12"/>
      <c r="M16" t="b">
        <v>0</v>
      </c>
      <c r="N16">
        <v>0</v>
      </c>
      <c r="O16">
        <v>0</v>
      </c>
      <c r="P16" s="19" t="s">
        <v>172</v>
      </c>
      <c r="Q16" s="19" t="s">
        <v>285</v>
      </c>
      <c r="R16" s="19" t="s">
        <v>172</v>
      </c>
      <c r="S16" s="19" t="s">
        <v>122</v>
      </c>
      <c r="T16" s="16">
        <v>0</v>
      </c>
      <c r="U16" s="16">
        <v>0</v>
      </c>
      <c r="V16" s="16">
        <v>91.97</v>
      </c>
      <c r="W16" s="19" t="s">
        <v>172</v>
      </c>
      <c r="X16" s="19" t="s">
        <v>260</v>
      </c>
      <c r="Y16" s="12">
        <v>43177</v>
      </c>
      <c r="Z16" s="12">
        <v>43171</v>
      </c>
      <c r="AA16" s="12">
        <v>43177</v>
      </c>
    </row>
    <row r="17" spans="1:27" x14ac:dyDescent="0.25">
      <c r="A17">
        <v>13</v>
      </c>
      <c r="B17" s="19" t="s">
        <v>253</v>
      </c>
      <c r="C17" s="19" t="s">
        <v>254</v>
      </c>
      <c r="D17" s="19" t="s">
        <v>255</v>
      </c>
      <c r="E17" s="19" t="s">
        <v>256</v>
      </c>
      <c r="F17" s="19" t="s">
        <v>286</v>
      </c>
      <c r="G17" s="12">
        <v>43125</v>
      </c>
      <c r="H17" s="12">
        <v>43150</v>
      </c>
      <c r="I17">
        <v>28</v>
      </c>
      <c r="J17" s="12"/>
      <c r="K17" t="b">
        <v>1</v>
      </c>
      <c r="L17" s="12"/>
      <c r="M17" t="b">
        <v>0</v>
      </c>
      <c r="N17">
        <v>0</v>
      </c>
      <c r="O17">
        <v>0</v>
      </c>
      <c r="P17" s="19" t="s">
        <v>172</v>
      </c>
      <c r="Q17" s="19" t="s">
        <v>285</v>
      </c>
      <c r="R17" s="19" t="s">
        <v>172</v>
      </c>
      <c r="S17" s="19" t="s">
        <v>121</v>
      </c>
      <c r="T17" s="16">
        <v>0</v>
      </c>
      <c r="U17" s="16">
        <v>0</v>
      </c>
      <c r="V17" s="16">
        <v>463.9</v>
      </c>
      <c r="W17" s="19" t="s">
        <v>172</v>
      </c>
      <c r="X17" s="19" t="s">
        <v>260</v>
      </c>
      <c r="Y17" s="12">
        <v>43177</v>
      </c>
      <c r="Z17" s="12">
        <v>43171</v>
      </c>
      <c r="AA17" s="12">
        <v>43177</v>
      </c>
    </row>
    <row r="18" spans="1:27" x14ac:dyDescent="0.25">
      <c r="A18">
        <v>14</v>
      </c>
      <c r="B18" s="19" t="s">
        <v>253</v>
      </c>
      <c r="C18" s="19" t="s">
        <v>254</v>
      </c>
      <c r="D18" s="19" t="s">
        <v>255</v>
      </c>
      <c r="E18" s="19" t="s">
        <v>256</v>
      </c>
      <c r="F18" s="19" t="s">
        <v>287</v>
      </c>
      <c r="G18" s="12">
        <v>43121</v>
      </c>
      <c r="H18" s="12">
        <v>43150</v>
      </c>
      <c r="I18">
        <v>28</v>
      </c>
      <c r="J18" s="12"/>
      <c r="K18" t="b">
        <v>1</v>
      </c>
      <c r="L18" s="12"/>
      <c r="M18" t="b">
        <v>0</v>
      </c>
      <c r="N18">
        <v>0</v>
      </c>
      <c r="O18">
        <v>0</v>
      </c>
      <c r="P18" s="19" t="s">
        <v>172</v>
      </c>
      <c r="Q18" s="19" t="s">
        <v>285</v>
      </c>
      <c r="R18" s="19" t="s">
        <v>172</v>
      </c>
      <c r="S18" s="19" t="s">
        <v>129</v>
      </c>
      <c r="T18" s="16">
        <v>0</v>
      </c>
      <c r="U18" s="16">
        <v>0</v>
      </c>
      <c r="V18" s="16">
        <v>28.46</v>
      </c>
      <c r="W18" s="19" t="s">
        <v>172</v>
      </c>
      <c r="X18" s="19" t="s">
        <v>260</v>
      </c>
      <c r="Y18" s="12">
        <v>43177</v>
      </c>
      <c r="Z18" s="12">
        <v>43171</v>
      </c>
      <c r="AA18" s="12">
        <v>43177</v>
      </c>
    </row>
    <row r="19" spans="1:27" x14ac:dyDescent="0.25">
      <c r="A19">
        <v>15</v>
      </c>
      <c r="B19" s="19" t="s">
        <v>253</v>
      </c>
      <c r="C19" s="19" t="s">
        <v>254</v>
      </c>
      <c r="D19" s="19" t="s">
        <v>255</v>
      </c>
      <c r="E19" s="19" t="s">
        <v>256</v>
      </c>
      <c r="F19" s="19" t="s">
        <v>288</v>
      </c>
      <c r="G19" s="12">
        <v>43112</v>
      </c>
      <c r="H19" s="12">
        <v>43150</v>
      </c>
      <c r="I19">
        <v>28</v>
      </c>
      <c r="J19" s="12"/>
      <c r="K19" t="b">
        <v>1</v>
      </c>
      <c r="L19" s="12"/>
      <c r="M19" t="b">
        <v>0</v>
      </c>
      <c r="N19">
        <v>0</v>
      </c>
      <c r="O19">
        <v>0</v>
      </c>
      <c r="P19" s="19" t="s">
        <v>172</v>
      </c>
      <c r="Q19" s="19" t="s">
        <v>285</v>
      </c>
      <c r="R19" s="19" t="s">
        <v>172</v>
      </c>
      <c r="S19" s="19" t="s">
        <v>131</v>
      </c>
      <c r="T19" s="16">
        <v>0</v>
      </c>
      <c r="U19" s="16">
        <v>0</v>
      </c>
      <c r="V19" s="16">
        <v>112.42</v>
      </c>
      <c r="W19" s="19" t="s">
        <v>172</v>
      </c>
      <c r="X19" s="19" t="s">
        <v>260</v>
      </c>
      <c r="Y19" s="12">
        <v>43177</v>
      </c>
      <c r="Z19" s="12">
        <v>43171</v>
      </c>
      <c r="AA19" s="12">
        <v>43177</v>
      </c>
    </row>
    <row r="20" spans="1:27" x14ac:dyDescent="0.25">
      <c r="A20">
        <v>16</v>
      </c>
      <c r="B20" s="19" t="s">
        <v>253</v>
      </c>
      <c r="C20" s="19" t="s">
        <v>254</v>
      </c>
      <c r="D20" s="19" t="s">
        <v>255</v>
      </c>
      <c r="E20" s="19" t="s">
        <v>256</v>
      </c>
      <c r="F20" s="19" t="s">
        <v>289</v>
      </c>
      <c r="G20" s="12">
        <v>43110</v>
      </c>
      <c r="H20" s="12">
        <v>43151</v>
      </c>
      <c r="I20">
        <v>27</v>
      </c>
      <c r="J20" s="12">
        <v>43119</v>
      </c>
      <c r="K20" t="b">
        <v>1</v>
      </c>
      <c r="L20" s="12"/>
      <c r="M20" t="b">
        <v>0</v>
      </c>
      <c r="N20">
        <v>1</v>
      </c>
      <c r="O20">
        <v>1</v>
      </c>
      <c r="P20" s="19" t="s">
        <v>290</v>
      </c>
      <c r="Q20" s="19" t="s">
        <v>259</v>
      </c>
      <c r="R20" s="19" t="s">
        <v>135</v>
      </c>
      <c r="S20" s="19" t="s">
        <v>121</v>
      </c>
      <c r="T20" s="16">
        <v>358.9</v>
      </c>
      <c r="U20" s="16">
        <v>15.53</v>
      </c>
      <c r="V20" s="16">
        <v>374.43</v>
      </c>
      <c r="W20" s="19" t="s">
        <v>921</v>
      </c>
      <c r="X20" s="19" t="s">
        <v>260</v>
      </c>
      <c r="Y20" s="12">
        <v>43177</v>
      </c>
      <c r="Z20" s="12">
        <v>43171</v>
      </c>
      <c r="AA20" s="12">
        <v>43177</v>
      </c>
    </row>
    <row r="21" spans="1:27" x14ac:dyDescent="0.25">
      <c r="A21">
        <v>17</v>
      </c>
      <c r="B21" s="19" t="s">
        <v>253</v>
      </c>
      <c r="C21" s="19" t="s">
        <v>254</v>
      </c>
      <c r="D21" s="19" t="s">
        <v>261</v>
      </c>
      <c r="E21" s="19" t="s">
        <v>262</v>
      </c>
      <c r="F21" s="19" t="s">
        <v>291</v>
      </c>
      <c r="G21" s="12">
        <v>43120</v>
      </c>
      <c r="H21" s="12">
        <v>43151</v>
      </c>
      <c r="I21">
        <v>27</v>
      </c>
      <c r="J21" s="12">
        <v>43125</v>
      </c>
      <c r="K21" t="b">
        <v>1</v>
      </c>
      <c r="L21" s="12">
        <v>43122</v>
      </c>
      <c r="M21" t="b">
        <v>0</v>
      </c>
      <c r="N21">
        <v>1</v>
      </c>
      <c r="O21">
        <v>1</v>
      </c>
      <c r="P21" s="19" t="s">
        <v>292</v>
      </c>
      <c r="Q21" s="19" t="s">
        <v>259</v>
      </c>
      <c r="R21" s="19" t="s">
        <v>131</v>
      </c>
      <c r="S21" s="19" t="s">
        <v>122</v>
      </c>
      <c r="T21" s="16">
        <v>149</v>
      </c>
      <c r="U21" s="16">
        <v>40.369999999999997</v>
      </c>
      <c r="V21" s="16">
        <v>189.37</v>
      </c>
      <c r="W21" s="19" t="s">
        <v>922</v>
      </c>
      <c r="X21" s="19" t="s">
        <v>265</v>
      </c>
      <c r="Y21" s="12">
        <v>43177</v>
      </c>
      <c r="Z21" s="12">
        <v>43171</v>
      </c>
      <c r="AA21" s="12">
        <v>43177</v>
      </c>
    </row>
    <row r="22" spans="1:27" x14ac:dyDescent="0.25">
      <c r="A22">
        <v>18</v>
      </c>
      <c r="B22" s="19" t="s">
        <v>253</v>
      </c>
      <c r="C22" s="19" t="s">
        <v>254</v>
      </c>
      <c r="D22" s="19" t="s">
        <v>255</v>
      </c>
      <c r="E22" s="19" t="s">
        <v>256</v>
      </c>
      <c r="F22" s="19" t="s">
        <v>293</v>
      </c>
      <c r="G22" s="12">
        <v>43119</v>
      </c>
      <c r="H22" s="12">
        <v>43151</v>
      </c>
      <c r="I22">
        <v>27</v>
      </c>
      <c r="J22" s="12">
        <v>43125</v>
      </c>
      <c r="K22" t="b">
        <v>1</v>
      </c>
      <c r="L22" s="12"/>
      <c r="M22" t="b">
        <v>0</v>
      </c>
      <c r="N22">
        <v>1</v>
      </c>
      <c r="O22">
        <v>1</v>
      </c>
      <c r="P22" s="19" t="s">
        <v>294</v>
      </c>
      <c r="Q22" s="19" t="s">
        <v>259</v>
      </c>
      <c r="R22" s="19" t="s">
        <v>135</v>
      </c>
      <c r="S22" s="19" t="s">
        <v>138</v>
      </c>
      <c r="T22" s="16">
        <v>39.9</v>
      </c>
      <c r="U22" s="16">
        <v>14.1</v>
      </c>
      <c r="V22" s="16">
        <v>54</v>
      </c>
      <c r="W22" s="19" t="s">
        <v>923</v>
      </c>
      <c r="X22" s="19" t="s">
        <v>260</v>
      </c>
      <c r="Y22" s="12">
        <v>43177</v>
      </c>
      <c r="Z22" s="12">
        <v>43171</v>
      </c>
      <c r="AA22" s="12">
        <v>43177</v>
      </c>
    </row>
    <row r="23" spans="1:27" x14ac:dyDescent="0.25">
      <c r="A23">
        <v>19</v>
      </c>
      <c r="B23" s="19" t="s">
        <v>253</v>
      </c>
      <c r="C23" s="19" t="s">
        <v>254</v>
      </c>
      <c r="D23" s="19" t="s">
        <v>261</v>
      </c>
      <c r="E23" s="19" t="s">
        <v>262</v>
      </c>
      <c r="F23" s="19" t="s">
        <v>295</v>
      </c>
      <c r="G23" s="12">
        <v>43121</v>
      </c>
      <c r="H23" s="12">
        <v>43151</v>
      </c>
      <c r="I23">
        <v>27</v>
      </c>
      <c r="J23" s="12">
        <v>43126</v>
      </c>
      <c r="K23" t="b">
        <v>1</v>
      </c>
      <c r="L23" s="12">
        <v>43124</v>
      </c>
      <c r="M23" t="b">
        <v>0</v>
      </c>
      <c r="N23">
        <v>1</v>
      </c>
      <c r="O23">
        <v>1</v>
      </c>
      <c r="P23" s="19" t="s">
        <v>296</v>
      </c>
      <c r="Q23" s="19" t="s">
        <v>259</v>
      </c>
      <c r="R23" s="19" t="s">
        <v>135</v>
      </c>
      <c r="S23" s="19" t="s">
        <v>152</v>
      </c>
      <c r="T23" s="16">
        <v>49</v>
      </c>
      <c r="U23" s="16">
        <v>25.38</v>
      </c>
      <c r="V23" s="16">
        <v>74.38</v>
      </c>
      <c r="W23" s="19" t="s">
        <v>924</v>
      </c>
      <c r="X23" s="19" t="s">
        <v>265</v>
      </c>
      <c r="Y23" s="12">
        <v>43177</v>
      </c>
      <c r="Z23" s="12">
        <v>43171</v>
      </c>
      <c r="AA23" s="12">
        <v>43177</v>
      </c>
    </row>
    <row r="24" spans="1:27" x14ac:dyDescent="0.25">
      <c r="A24">
        <v>20</v>
      </c>
      <c r="B24" s="19" t="s">
        <v>253</v>
      </c>
      <c r="C24" s="19" t="s">
        <v>254</v>
      </c>
      <c r="D24" s="19" t="s">
        <v>261</v>
      </c>
      <c r="E24" s="19" t="s">
        <v>262</v>
      </c>
      <c r="F24" s="19" t="s">
        <v>297</v>
      </c>
      <c r="G24" s="12">
        <v>43090</v>
      </c>
      <c r="H24" s="12">
        <v>43151</v>
      </c>
      <c r="I24">
        <v>27</v>
      </c>
      <c r="J24" s="12">
        <v>43129</v>
      </c>
      <c r="K24" t="b">
        <v>1</v>
      </c>
      <c r="L24" s="12">
        <v>43130</v>
      </c>
      <c r="M24" t="b">
        <v>0</v>
      </c>
      <c r="N24">
        <v>1</v>
      </c>
      <c r="O24">
        <v>1</v>
      </c>
      <c r="P24" s="19" t="s">
        <v>298</v>
      </c>
      <c r="Q24" s="19" t="s">
        <v>259</v>
      </c>
      <c r="R24" s="19" t="s">
        <v>121</v>
      </c>
      <c r="S24" s="19" t="s">
        <v>122</v>
      </c>
      <c r="T24" s="16">
        <v>244.69</v>
      </c>
      <c r="U24" s="16">
        <v>54.31</v>
      </c>
      <c r="V24" s="16">
        <v>299</v>
      </c>
      <c r="W24" s="19" t="s">
        <v>925</v>
      </c>
      <c r="X24" s="19" t="s">
        <v>265</v>
      </c>
      <c r="Y24" s="12">
        <v>43177</v>
      </c>
      <c r="Z24" s="12">
        <v>43171</v>
      </c>
      <c r="AA24" s="12">
        <v>43177</v>
      </c>
    </row>
    <row r="25" spans="1:27" x14ac:dyDescent="0.25">
      <c r="A25">
        <v>21</v>
      </c>
      <c r="B25" s="19" t="s">
        <v>253</v>
      </c>
      <c r="C25" s="19" t="s">
        <v>254</v>
      </c>
      <c r="D25" s="19" t="s">
        <v>261</v>
      </c>
      <c r="E25" s="19" t="s">
        <v>262</v>
      </c>
      <c r="F25" s="19" t="s">
        <v>299</v>
      </c>
      <c r="G25" s="12">
        <v>43123</v>
      </c>
      <c r="H25" s="12">
        <v>43151</v>
      </c>
      <c r="I25">
        <v>27</v>
      </c>
      <c r="J25" s="12">
        <v>43130</v>
      </c>
      <c r="K25" t="b">
        <v>1</v>
      </c>
      <c r="L25" s="12">
        <v>43126</v>
      </c>
      <c r="M25" t="b">
        <v>0</v>
      </c>
      <c r="N25">
        <v>1</v>
      </c>
      <c r="O25">
        <v>1</v>
      </c>
      <c r="P25" s="19" t="s">
        <v>300</v>
      </c>
      <c r="Q25" s="19" t="s">
        <v>259</v>
      </c>
      <c r="R25" s="19" t="s">
        <v>121</v>
      </c>
      <c r="S25" s="19" t="s">
        <v>152</v>
      </c>
      <c r="T25" s="16">
        <v>279.89999999999998</v>
      </c>
      <c r="U25" s="16">
        <v>26.41</v>
      </c>
      <c r="V25" s="16">
        <v>306.31</v>
      </c>
      <c r="W25" s="19" t="s">
        <v>926</v>
      </c>
      <c r="X25" s="19" t="s">
        <v>265</v>
      </c>
      <c r="Y25" s="12">
        <v>43177</v>
      </c>
      <c r="Z25" s="12">
        <v>43171</v>
      </c>
      <c r="AA25" s="12">
        <v>43177</v>
      </c>
    </row>
    <row r="26" spans="1:27" x14ac:dyDescent="0.25">
      <c r="A26">
        <v>22</v>
      </c>
      <c r="B26" s="19" t="s">
        <v>253</v>
      </c>
      <c r="C26" s="19" t="s">
        <v>254</v>
      </c>
      <c r="D26" s="19" t="s">
        <v>261</v>
      </c>
      <c r="E26" s="19" t="s">
        <v>262</v>
      </c>
      <c r="F26" s="19" t="s">
        <v>301</v>
      </c>
      <c r="G26" s="12">
        <v>43125</v>
      </c>
      <c r="H26" s="12">
        <v>43151</v>
      </c>
      <c r="I26">
        <v>27</v>
      </c>
      <c r="J26" s="12">
        <v>43131</v>
      </c>
      <c r="K26" t="b">
        <v>1</v>
      </c>
      <c r="L26" s="12">
        <v>43125</v>
      </c>
      <c r="M26" t="b">
        <v>0</v>
      </c>
      <c r="N26">
        <v>1</v>
      </c>
      <c r="O26">
        <v>1</v>
      </c>
      <c r="P26" s="19" t="s">
        <v>302</v>
      </c>
      <c r="Q26" s="19" t="s">
        <v>259</v>
      </c>
      <c r="R26" s="19" t="s">
        <v>121</v>
      </c>
      <c r="S26" s="19" t="s">
        <v>122</v>
      </c>
      <c r="T26" s="16">
        <v>69.900000000000006</v>
      </c>
      <c r="U26" s="16">
        <v>17.739999999999998</v>
      </c>
      <c r="V26" s="16">
        <v>87.64</v>
      </c>
      <c r="W26" s="19" t="s">
        <v>927</v>
      </c>
      <c r="X26" s="19" t="s">
        <v>265</v>
      </c>
      <c r="Y26" s="12">
        <v>43177</v>
      </c>
      <c r="Z26" s="12">
        <v>43171</v>
      </c>
      <c r="AA26" s="12">
        <v>43177</v>
      </c>
    </row>
    <row r="27" spans="1:27" x14ac:dyDescent="0.25">
      <c r="A27">
        <v>23</v>
      </c>
      <c r="B27" s="19" t="s">
        <v>253</v>
      </c>
      <c r="C27" s="19" t="s">
        <v>254</v>
      </c>
      <c r="D27" s="19" t="s">
        <v>261</v>
      </c>
      <c r="E27" s="19" t="s">
        <v>262</v>
      </c>
      <c r="F27" s="19" t="s">
        <v>303</v>
      </c>
      <c r="G27" s="12">
        <v>43127</v>
      </c>
      <c r="H27" s="12">
        <v>43151</v>
      </c>
      <c r="I27">
        <v>27</v>
      </c>
      <c r="J27" s="12">
        <v>43132</v>
      </c>
      <c r="K27" t="b">
        <v>1</v>
      </c>
      <c r="L27" s="12">
        <v>43130</v>
      </c>
      <c r="M27" t="b">
        <v>0</v>
      </c>
      <c r="N27">
        <v>1</v>
      </c>
      <c r="O27">
        <v>1</v>
      </c>
      <c r="P27" s="19" t="s">
        <v>304</v>
      </c>
      <c r="Q27" s="19" t="s">
        <v>259</v>
      </c>
      <c r="R27" s="19" t="s">
        <v>121</v>
      </c>
      <c r="S27" s="19" t="s">
        <v>121</v>
      </c>
      <c r="T27" s="16">
        <v>171.57</v>
      </c>
      <c r="U27" s="16">
        <v>13.54</v>
      </c>
      <c r="V27" s="16">
        <v>185.11</v>
      </c>
      <c r="W27" s="19" t="s">
        <v>925</v>
      </c>
      <c r="X27" s="19" t="s">
        <v>265</v>
      </c>
      <c r="Y27" s="12">
        <v>43177</v>
      </c>
      <c r="Z27" s="12">
        <v>43171</v>
      </c>
      <c r="AA27" s="12">
        <v>43177</v>
      </c>
    </row>
    <row r="28" spans="1:27" x14ac:dyDescent="0.25">
      <c r="A28">
        <v>24</v>
      </c>
      <c r="B28" s="19" t="s">
        <v>253</v>
      </c>
      <c r="C28" s="19" t="s">
        <v>254</v>
      </c>
      <c r="D28" s="19" t="s">
        <v>261</v>
      </c>
      <c r="E28" s="19" t="s">
        <v>262</v>
      </c>
      <c r="F28" s="19" t="s">
        <v>305</v>
      </c>
      <c r="G28" s="12">
        <v>43128</v>
      </c>
      <c r="H28" s="12">
        <v>43151</v>
      </c>
      <c r="I28">
        <v>27</v>
      </c>
      <c r="J28" s="12">
        <v>43132</v>
      </c>
      <c r="K28" t="b">
        <v>1</v>
      </c>
      <c r="L28" s="12">
        <v>43132</v>
      </c>
      <c r="M28" t="b">
        <v>0</v>
      </c>
      <c r="N28">
        <v>1</v>
      </c>
      <c r="O28">
        <v>1</v>
      </c>
      <c r="P28" s="19" t="s">
        <v>306</v>
      </c>
      <c r="Q28" s="19" t="s">
        <v>259</v>
      </c>
      <c r="R28" s="19" t="s">
        <v>131</v>
      </c>
      <c r="S28" s="19" t="s">
        <v>122</v>
      </c>
      <c r="T28" s="16">
        <v>158.9</v>
      </c>
      <c r="U28" s="16">
        <v>15.87</v>
      </c>
      <c r="V28" s="16">
        <v>174.77</v>
      </c>
      <c r="W28" s="19" t="s">
        <v>928</v>
      </c>
      <c r="X28" s="19" t="s">
        <v>265</v>
      </c>
      <c r="Y28" s="12">
        <v>43177</v>
      </c>
      <c r="Z28" s="12">
        <v>43171</v>
      </c>
      <c r="AA28" s="12">
        <v>43177</v>
      </c>
    </row>
    <row r="29" spans="1:27" x14ac:dyDescent="0.25">
      <c r="A29">
        <v>25</v>
      </c>
      <c r="B29" s="19" t="s">
        <v>253</v>
      </c>
      <c r="C29" s="19" t="s">
        <v>254</v>
      </c>
      <c r="D29" s="19" t="s">
        <v>261</v>
      </c>
      <c r="E29" s="19" t="s">
        <v>262</v>
      </c>
      <c r="F29" s="19" t="s">
        <v>307</v>
      </c>
      <c r="G29" s="12">
        <v>43133</v>
      </c>
      <c r="H29" s="12">
        <v>43151</v>
      </c>
      <c r="I29">
        <v>27</v>
      </c>
      <c r="J29" s="12">
        <v>43139</v>
      </c>
      <c r="K29" t="b">
        <v>1</v>
      </c>
      <c r="L29" s="12">
        <v>43137</v>
      </c>
      <c r="M29" t="b">
        <v>0</v>
      </c>
      <c r="N29">
        <v>1</v>
      </c>
      <c r="O29">
        <v>1</v>
      </c>
      <c r="P29" s="19" t="s">
        <v>308</v>
      </c>
      <c r="Q29" s="19" t="s">
        <v>259</v>
      </c>
      <c r="R29" s="19" t="s">
        <v>121</v>
      </c>
      <c r="S29" s="19" t="s">
        <v>121</v>
      </c>
      <c r="T29" s="16">
        <v>12</v>
      </c>
      <c r="U29" s="16">
        <v>7.78</v>
      </c>
      <c r="V29" s="16">
        <v>19.78</v>
      </c>
      <c r="W29" s="19" t="s">
        <v>929</v>
      </c>
      <c r="X29" s="19" t="s">
        <v>265</v>
      </c>
      <c r="Y29" s="12">
        <v>43177</v>
      </c>
      <c r="Z29" s="12">
        <v>43171</v>
      </c>
      <c r="AA29" s="12">
        <v>43177</v>
      </c>
    </row>
    <row r="30" spans="1:27" x14ac:dyDescent="0.25">
      <c r="A30">
        <v>26</v>
      </c>
      <c r="B30" s="19" t="s">
        <v>253</v>
      </c>
      <c r="C30" s="19" t="s">
        <v>254</v>
      </c>
      <c r="D30" s="19" t="s">
        <v>255</v>
      </c>
      <c r="E30" s="19" t="s">
        <v>256</v>
      </c>
      <c r="F30" s="19" t="s">
        <v>309</v>
      </c>
      <c r="G30" s="12">
        <v>43130</v>
      </c>
      <c r="H30" s="12">
        <v>43151</v>
      </c>
      <c r="I30">
        <v>27</v>
      </c>
      <c r="J30" s="12"/>
      <c r="K30" t="b">
        <v>1</v>
      </c>
      <c r="L30" s="12"/>
      <c r="M30" t="b">
        <v>0</v>
      </c>
      <c r="N30">
        <v>0</v>
      </c>
      <c r="O30">
        <v>0</v>
      </c>
      <c r="P30" s="19" t="s">
        <v>172</v>
      </c>
      <c r="Q30" s="19" t="s">
        <v>285</v>
      </c>
      <c r="R30" s="19" t="s">
        <v>172</v>
      </c>
      <c r="S30" s="19" t="s">
        <v>121</v>
      </c>
      <c r="T30" s="16">
        <v>0</v>
      </c>
      <c r="U30" s="16">
        <v>0</v>
      </c>
      <c r="V30" s="16">
        <v>148.80000000000001</v>
      </c>
      <c r="W30" s="19" t="s">
        <v>172</v>
      </c>
      <c r="X30" s="19" t="s">
        <v>260</v>
      </c>
      <c r="Y30" s="12">
        <v>43177</v>
      </c>
      <c r="Z30" s="12">
        <v>43171</v>
      </c>
      <c r="AA30" s="12">
        <v>43177</v>
      </c>
    </row>
    <row r="31" spans="1:27" x14ac:dyDescent="0.25">
      <c r="A31">
        <v>27</v>
      </c>
      <c r="B31" s="19" t="s">
        <v>253</v>
      </c>
      <c r="C31" s="19" t="s">
        <v>254</v>
      </c>
      <c r="D31" s="19" t="s">
        <v>255</v>
      </c>
      <c r="E31" s="19" t="s">
        <v>256</v>
      </c>
      <c r="F31" s="19" t="s">
        <v>310</v>
      </c>
      <c r="G31" s="12">
        <v>43110</v>
      </c>
      <c r="H31" s="12">
        <v>43152</v>
      </c>
      <c r="I31">
        <v>26</v>
      </c>
      <c r="J31" s="12">
        <v>43122</v>
      </c>
      <c r="K31" t="b">
        <v>1</v>
      </c>
      <c r="L31" s="12"/>
      <c r="M31" t="b">
        <v>0</v>
      </c>
      <c r="N31">
        <v>1</v>
      </c>
      <c r="O31">
        <v>1</v>
      </c>
      <c r="P31" s="19" t="s">
        <v>290</v>
      </c>
      <c r="Q31" s="19" t="s">
        <v>259</v>
      </c>
      <c r="R31" s="19" t="s">
        <v>135</v>
      </c>
      <c r="S31" s="19" t="s">
        <v>121</v>
      </c>
      <c r="T31" s="16">
        <v>358.9</v>
      </c>
      <c r="U31" s="16">
        <v>18.27</v>
      </c>
      <c r="V31" s="16">
        <v>377.17</v>
      </c>
      <c r="W31" s="19" t="s">
        <v>930</v>
      </c>
      <c r="X31" s="19" t="s">
        <v>260</v>
      </c>
      <c r="Y31" s="12">
        <v>43177</v>
      </c>
      <c r="Z31" s="12">
        <v>43171</v>
      </c>
      <c r="AA31" s="12">
        <v>43177</v>
      </c>
    </row>
    <row r="32" spans="1:27" x14ac:dyDescent="0.25">
      <c r="A32">
        <v>28</v>
      </c>
      <c r="B32" s="19" t="s">
        <v>253</v>
      </c>
      <c r="C32" s="19" t="s">
        <v>254</v>
      </c>
      <c r="D32" s="19" t="s">
        <v>261</v>
      </c>
      <c r="E32" s="19" t="s">
        <v>262</v>
      </c>
      <c r="F32" s="19" t="s">
        <v>311</v>
      </c>
      <c r="G32" s="12">
        <v>43124</v>
      </c>
      <c r="H32" s="12">
        <v>43152</v>
      </c>
      <c r="I32">
        <v>26</v>
      </c>
      <c r="J32" s="12">
        <v>43131</v>
      </c>
      <c r="K32" t="b">
        <v>1</v>
      </c>
      <c r="L32" s="12">
        <v>43126</v>
      </c>
      <c r="M32" t="b">
        <v>0</v>
      </c>
      <c r="N32">
        <v>1</v>
      </c>
      <c r="O32">
        <v>1</v>
      </c>
      <c r="P32" s="19" t="s">
        <v>312</v>
      </c>
      <c r="Q32" s="19" t="s">
        <v>259</v>
      </c>
      <c r="R32" s="19" t="s">
        <v>121</v>
      </c>
      <c r="S32" s="19" t="s">
        <v>131</v>
      </c>
      <c r="T32" s="16">
        <v>89.79</v>
      </c>
      <c r="U32" s="16">
        <v>15.38</v>
      </c>
      <c r="V32" s="16">
        <v>105.17</v>
      </c>
      <c r="W32" s="19" t="s">
        <v>931</v>
      </c>
      <c r="X32" s="19" t="s">
        <v>265</v>
      </c>
      <c r="Y32" s="12">
        <v>43177</v>
      </c>
      <c r="Z32" s="12">
        <v>43171</v>
      </c>
      <c r="AA32" s="12">
        <v>43177</v>
      </c>
    </row>
    <row r="33" spans="1:27" x14ac:dyDescent="0.25">
      <c r="A33">
        <v>29</v>
      </c>
      <c r="B33" s="19" t="s">
        <v>253</v>
      </c>
      <c r="C33" s="19" t="s">
        <v>254</v>
      </c>
      <c r="D33" s="19" t="s">
        <v>261</v>
      </c>
      <c r="E33" s="19" t="s">
        <v>262</v>
      </c>
      <c r="F33" s="19" t="s">
        <v>313</v>
      </c>
      <c r="G33" s="12">
        <v>43130</v>
      </c>
      <c r="H33" s="12">
        <v>43152</v>
      </c>
      <c r="I33">
        <v>26</v>
      </c>
      <c r="J33" s="12">
        <v>43136</v>
      </c>
      <c r="K33" t="b">
        <v>1</v>
      </c>
      <c r="L33" s="12">
        <v>43131</v>
      </c>
      <c r="M33" t="b">
        <v>0</v>
      </c>
      <c r="N33">
        <v>1</v>
      </c>
      <c r="O33">
        <v>1</v>
      </c>
      <c r="P33" s="19" t="s">
        <v>314</v>
      </c>
      <c r="Q33" s="19" t="s">
        <v>259</v>
      </c>
      <c r="R33" s="19" t="s">
        <v>121</v>
      </c>
      <c r="S33" s="19" t="s">
        <v>121</v>
      </c>
      <c r="T33" s="16">
        <v>35.99</v>
      </c>
      <c r="U33" s="16">
        <v>12.69</v>
      </c>
      <c r="V33" s="16">
        <v>48.68</v>
      </c>
      <c r="W33" s="19" t="s">
        <v>932</v>
      </c>
      <c r="X33" s="19" t="s">
        <v>265</v>
      </c>
      <c r="Y33" s="12">
        <v>43177</v>
      </c>
      <c r="Z33" s="12">
        <v>43171</v>
      </c>
      <c r="AA33" s="12">
        <v>43177</v>
      </c>
    </row>
    <row r="34" spans="1:27" x14ac:dyDescent="0.25">
      <c r="A34">
        <v>30</v>
      </c>
      <c r="B34" s="19" t="s">
        <v>253</v>
      </c>
      <c r="C34" s="19" t="s">
        <v>254</v>
      </c>
      <c r="D34" s="19" t="s">
        <v>261</v>
      </c>
      <c r="E34" s="19" t="s">
        <v>262</v>
      </c>
      <c r="F34" s="19" t="s">
        <v>315</v>
      </c>
      <c r="G34" s="12">
        <v>43135</v>
      </c>
      <c r="H34" s="12">
        <v>43152</v>
      </c>
      <c r="I34">
        <v>26</v>
      </c>
      <c r="J34" s="12">
        <v>43139</v>
      </c>
      <c r="K34" t="b">
        <v>1</v>
      </c>
      <c r="L34" s="12">
        <v>43137</v>
      </c>
      <c r="M34" t="b">
        <v>0</v>
      </c>
      <c r="N34">
        <v>1</v>
      </c>
      <c r="O34">
        <v>1</v>
      </c>
      <c r="P34" s="19" t="s">
        <v>316</v>
      </c>
      <c r="Q34" s="19" t="s">
        <v>259</v>
      </c>
      <c r="R34" s="19" t="s">
        <v>121</v>
      </c>
      <c r="S34" s="19" t="s">
        <v>121</v>
      </c>
      <c r="T34" s="16">
        <v>179</v>
      </c>
      <c r="U34" s="16">
        <v>10.07</v>
      </c>
      <c r="V34" s="16">
        <v>189.07</v>
      </c>
      <c r="W34" s="19" t="s">
        <v>933</v>
      </c>
      <c r="X34" s="19" t="s">
        <v>265</v>
      </c>
      <c r="Y34" s="12">
        <v>43177</v>
      </c>
      <c r="Z34" s="12">
        <v>43171</v>
      </c>
      <c r="AA34" s="12">
        <v>43177</v>
      </c>
    </row>
    <row r="35" spans="1:27" x14ac:dyDescent="0.25">
      <c r="A35">
        <v>31</v>
      </c>
      <c r="B35" s="19" t="s">
        <v>253</v>
      </c>
      <c r="C35" s="19" t="s">
        <v>254</v>
      </c>
      <c r="D35" s="19" t="s">
        <v>261</v>
      </c>
      <c r="E35" s="19" t="s">
        <v>262</v>
      </c>
      <c r="F35" s="19" t="s">
        <v>317</v>
      </c>
      <c r="G35" s="12">
        <v>43136</v>
      </c>
      <c r="H35" s="12">
        <v>43152</v>
      </c>
      <c r="I35">
        <v>26</v>
      </c>
      <c r="J35" s="12">
        <v>43142</v>
      </c>
      <c r="K35" t="b">
        <v>1</v>
      </c>
      <c r="L35" s="12">
        <v>43137</v>
      </c>
      <c r="M35" t="b">
        <v>0</v>
      </c>
      <c r="N35">
        <v>1</v>
      </c>
      <c r="O35">
        <v>1</v>
      </c>
      <c r="P35" s="19" t="s">
        <v>318</v>
      </c>
      <c r="Q35" s="19" t="s">
        <v>259</v>
      </c>
      <c r="R35" s="19" t="s">
        <v>121</v>
      </c>
      <c r="S35" s="19" t="s">
        <v>121</v>
      </c>
      <c r="T35" s="16">
        <v>26</v>
      </c>
      <c r="U35" s="16">
        <v>7.78</v>
      </c>
      <c r="V35" s="16">
        <v>33.78</v>
      </c>
      <c r="W35" s="19" t="s">
        <v>933</v>
      </c>
      <c r="X35" s="19" t="s">
        <v>265</v>
      </c>
      <c r="Y35" s="12">
        <v>43177</v>
      </c>
      <c r="Z35" s="12">
        <v>43171</v>
      </c>
      <c r="AA35" s="12">
        <v>43177</v>
      </c>
    </row>
    <row r="36" spans="1:27" x14ac:dyDescent="0.25">
      <c r="A36">
        <v>32</v>
      </c>
      <c r="B36" s="19" t="s">
        <v>253</v>
      </c>
      <c r="C36" s="19" t="s">
        <v>254</v>
      </c>
      <c r="D36" s="19" t="s">
        <v>261</v>
      </c>
      <c r="E36" s="19" t="s">
        <v>262</v>
      </c>
      <c r="F36" s="19" t="s">
        <v>319</v>
      </c>
      <c r="G36" s="12">
        <v>43134</v>
      </c>
      <c r="H36" s="12">
        <v>43152</v>
      </c>
      <c r="I36">
        <v>26</v>
      </c>
      <c r="J36" s="12">
        <v>43143</v>
      </c>
      <c r="K36" t="b">
        <v>1</v>
      </c>
      <c r="L36" s="12">
        <v>43137</v>
      </c>
      <c r="M36" t="b">
        <v>0</v>
      </c>
      <c r="N36">
        <v>1</v>
      </c>
      <c r="O36">
        <v>1</v>
      </c>
      <c r="P36" s="19" t="s">
        <v>320</v>
      </c>
      <c r="Q36" s="19" t="s">
        <v>259</v>
      </c>
      <c r="R36" s="19" t="s">
        <v>121</v>
      </c>
      <c r="S36" s="19" t="s">
        <v>121</v>
      </c>
      <c r="T36" s="16">
        <v>22.99</v>
      </c>
      <c r="U36" s="16">
        <v>8.7200000000000006</v>
      </c>
      <c r="V36" s="16">
        <v>31.71</v>
      </c>
      <c r="W36" s="19" t="s">
        <v>933</v>
      </c>
      <c r="X36" s="19" t="s">
        <v>265</v>
      </c>
      <c r="Y36" s="12">
        <v>43177</v>
      </c>
      <c r="Z36" s="12">
        <v>43171</v>
      </c>
      <c r="AA36" s="12">
        <v>43177</v>
      </c>
    </row>
    <row r="37" spans="1:27" x14ac:dyDescent="0.25">
      <c r="A37">
        <v>33</v>
      </c>
      <c r="B37" s="19" t="s">
        <v>253</v>
      </c>
      <c r="C37" s="19" t="s">
        <v>254</v>
      </c>
      <c r="D37" s="19" t="s">
        <v>255</v>
      </c>
      <c r="E37" s="19" t="s">
        <v>256</v>
      </c>
      <c r="F37" s="19" t="s">
        <v>321</v>
      </c>
      <c r="G37" s="12">
        <v>43113</v>
      </c>
      <c r="H37" s="12">
        <v>43152</v>
      </c>
      <c r="I37">
        <v>26</v>
      </c>
      <c r="J37" s="12"/>
      <c r="K37" t="b">
        <v>1</v>
      </c>
      <c r="L37" s="12"/>
      <c r="M37" t="b">
        <v>0</v>
      </c>
      <c r="N37">
        <v>0</v>
      </c>
      <c r="O37">
        <v>0</v>
      </c>
      <c r="P37" s="19" t="s">
        <v>172</v>
      </c>
      <c r="Q37" s="19" t="s">
        <v>285</v>
      </c>
      <c r="R37" s="19" t="s">
        <v>172</v>
      </c>
      <c r="S37" s="19" t="s">
        <v>146</v>
      </c>
      <c r="T37" s="16">
        <v>0</v>
      </c>
      <c r="U37" s="16">
        <v>0</v>
      </c>
      <c r="V37" s="16">
        <v>230.5</v>
      </c>
      <c r="W37" s="19" t="s">
        <v>172</v>
      </c>
      <c r="X37" s="19" t="s">
        <v>260</v>
      </c>
      <c r="Y37" s="12">
        <v>43177</v>
      </c>
      <c r="Z37" s="12">
        <v>43171</v>
      </c>
      <c r="AA37" s="12">
        <v>43177</v>
      </c>
    </row>
    <row r="38" spans="1:27" x14ac:dyDescent="0.25">
      <c r="A38">
        <v>34</v>
      </c>
      <c r="B38" s="19" t="s">
        <v>253</v>
      </c>
      <c r="C38" s="19" t="s">
        <v>254</v>
      </c>
      <c r="D38" s="19" t="s">
        <v>255</v>
      </c>
      <c r="E38" s="19" t="s">
        <v>256</v>
      </c>
      <c r="F38" s="19" t="s">
        <v>322</v>
      </c>
      <c r="G38" s="12">
        <v>43121</v>
      </c>
      <c r="H38" s="12">
        <v>43152</v>
      </c>
      <c r="I38">
        <v>26</v>
      </c>
      <c r="J38" s="12"/>
      <c r="K38" t="b">
        <v>1</v>
      </c>
      <c r="L38" s="12"/>
      <c r="M38" t="b">
        <v>0</v>
      </c>
      <c r="N38">
        <v>0</v>
      </c>
      <c r="O38">
        <v>0</v>
      </c>
      <c r="P38" s="19" t="s">
        <v>172</v>
      </c>
      <c r="Q38" s="19" t="s">
        <v>285</v>
      </c>
      <c r="R38" s="19" t="s">
        <v>172</v>
      </c>
      <c r="S38" s="19" t="s">
        <v>125</v>
      </c>
      <c r="T38" s="16">
        <v>0</v>
      </c>
      <c r="U38" s="16">
        <v>0</v>
      </c>
      <c r="V38" s="16">
        <v>103.27</v>
      </c>
      <c r="W38" s="19" t="s">
        <v>172</v>
      </c>
      <c r="X38" s="19" t="s">
        <v>260</v>
      </c>
      <c r="Y38" s="12">
        <v>43177</v>
      </c>
      <c r="Z38" s="12">
        <v>43171</v>
      </c>
      <c r="AA38" s="12">
        <v>43177</v>
      </c>
    </row>
    <row r="39" spans="1:27" x14ac:dyDescent="0.25">
      <c r="A39">
        <v>35</v>
      </c>
      <c r="B39" s="19" t="s">
        <v>253</v>
      </c>
      <c r="C39" s="19" t="s">
        <v>254</v>
      </c>
      <c r="D39" s="19" t="s">
        <v>261</v>
      </c>
      <c r="E39" s="19" t="s">
        <v>262</v>
      </c>
      <c r="F39" s="19" t="s">
        <v>323</v>
      </c>
      <c r="G39" s="12">
        <v>43105</v>
      </c>
      <c r="H39" s="12">
        <v>43153</v>
      </c>
      <c r="I39">
        <v>25</v>
      </c>
      <c r="J39" s="12">
        <v>43111</v>
      </c>
      <c r="K39" t="b">
        <v>1</v>
      </c>
      <c r="L39" s="12">
        <v>43148</v>
      </c>
      <c r="M39" t="b">
        <v>0</v>
      </c>
      <c r="N39">
        <v>1</v>
      </c>
      <c r="O39">
        <v>1</v>
      </c>
      <c r="P39" s="19" t="s">
        <v>324</v>
      </c>
      <c r="Q39" s="19" t="s">
        <v>259</v>
      </c>
      <c r="R39" s="19" t="s">
        <v>121</v>
      </c>
      <c r="S39" s="19" t="s">
        <v>125</v>
      </c>
      <c r="T39" s="16">
        <v>270</v>
      </c>
      <c r="U39" s="16">
        <v>17.649999999999999</v>
      </c>
      <c r="V39" s="16">
        <v>287.64999999999998</v>
      </c>
      <c r="W39" s="19" t="s">
        <v>934</v>
      </c>
      <c r="X39" s="19" t="s">
        <v>265</v>
      </c>
      <c r="Y39" s="12">
        <v>43177</v>
      </c>
      <c r="Z39" s="12">
        <v>43171</v>
      </c>
      <c r="AA39" s="12">
        <v>43177</v>
      </c>
    </row>
    <row r="40" spans="1:27" x14ac:dyDescent="0.25">
      <c r="A40">
        <v>36</v>
      </c>
      <c r="B40" s="19" t="s">
        <v>253</v>
      </c>
      <c r="C40" s="19" t="s">
        <v>254</v>
      </c>
      <c r="D40" s="19" t="s">
        <v>261</v>
      </c>
      <c r="E40" s="19" t="s">
        <v>262</v>
      </c>
      <c r="F40" s="19" t="s">
        <v>325</v>
      </c>
      <c r="G40" s="12">
        <v>43119</v>
      </c>
      <c r="H40" s="12">
        <v>43153</v>
      </c>
      <c r="I40">
        <v>25</v>
      </c>
      <c r="J40" s="12">
        <v>43125</v>
      </c>
      <c r="K40" t="b">
        <v>1</v>
      </c>
      <c r="L40" s="12">
        <v>43134</v>
      </c>
      <c r="M40" t="b">
        <v>0</v>
      </c>
      <c r="N40">
        <v>1</v>
      </c>
      <c r="O40">
        <v>1</v>
      </c>
      <c r="P40" s="19" t="s">
        <v>300</v>
      </c>
      <c r="Q40" s="19" t="s">
        <v>259</v>
      </c>
      <c r="R40" s="19" t="s">
        <v>121</v>
      </c>
      <c r="S40" s="19" t="s">
        <v>152</v>
      </c>
      <c r="T40" s="16">
        <v>279.89999999999998</v>
      </c>
      <c r="U40" s="16">
        <v>34.409999999999997</v>
      </c>
      <c r="V40" s="16">
        <v>314.31</v>
      </c>
      <c r="W40" s="19" t="s">
        <v>935</v>
      </c>
      <c r="X40" s="19" t="s">
        <v>265</v>
      </c>
      <c r="Y40" s="12">
        <v>43177</v>
      </c>
      <c r="Z40" s="12">
        <v>43171</v>
      </c>
      <c r="AA40" s="12">
        <v>43177</v>
      </c>
    </row>
    <row r="41" spans="1:27" x14ac:dyDescent="0.25">
      <c r="A41">
        <v>37</v>
      </c>
      <c r="B41" s="19" t="s">
        <v>253</v>
      </c>
      <c r="C41" s="19" t="s">
        <v>254</v>
      </c>
      <c r="D41" s="19" t="s">
        <v>261</v>
      </c>
      <c r="E41" s="19" t="s">
        <v>262</v>
      </c>
      <c r="F41" s="19" t="s">
        <v>326</v>
      </c>
      <c r="G41" s="12">
        <v>43121</v>
      </c>
      <c r="H41" s="12">
        <v>43153</v>
      </c>
      <c r="I41">
        <v>25</v>
      </c>
      <c r="J41" s="12">
        <v>43126</v>
      </c>
      <c r="K41" t="b">
        <v>1</v>
      </c>
      <c r="L41" s="12">
        <v>43125</v>
      </c>
      <c r="M41" t="b">
        <v>0</v>
      </c>
      <c r="N41">
        <v>1</v>
      </c>
      <c r="O41">
        <v>1</v>
      </c>
      <c r="P41" s="19" t="s">
        <v>327</v>
      </c>
      <c r="Q41" s="19" t="s">
        <v>259</v>
      </c>
      <c r="R41" s="19" t="s">
        <v>121</v>
      </c>
      <c r="S41" s="19" t="s">
        <v>129</v>
      </c>
      <c r="T41" s="16">
        <v>122.99</v>
      </c>
      <c r="U41" s="16">
        <v>16.3</v>
      </c>
      <c r="V41" s="16">
        <v>139.29</v>
      </c>
      <c r="W41" s="19" t="s">
        <v>936</v>
      </c>
      <c r="X41" s="19" t="s">
        <v>265</v>
      </c>
      <c r="Y41" s="12">
        <v>43177</v>
      </c>
      <c r="Z41" s="12">
        <v>43171</v>
      </c>
      <c r="AA41" s="12">
        <v>43177</v>
      </c>
    </row>
    <row r="42" spans="1:27" x14ac:dyDescent="0.25">
      <c r="A42">
        <v>38</v>
      </c>
      <c r="B42" s="19" t="s">
        <v>253</v>
      </c>
      <c r="C42" s="19" t="s">
        <v>254</v>
      </c>
      <c r="D42" s="19" t="s">
        <v>255</v>
      </c>
      <c r="E42" s="19" t="s">
        <v>256</v>
      </c>
      <c r="F42" s="19" t="s">
        <v>328</v>
      </c>
      <c r="G42" s="12">
        <v>43122</v>
      </c>
      <c r="H42" s="12">
        <v>43153</v>
      </c>
      <c r="I42">
        <v>25</v>
      </c>
      <c r="J42" s="12">
        <v>43126</v>
      </c>
      <c r="K42" t="b">
        <v>1</v>
      </c>
      <c r="L42" s="12"/>
      <c r="M42" t="b">
        <v>0</v>
      </c>
      <c r="N42">
        <v>1</v>
      </c>
      <c r="O42">
        <v>1</v>
      </c>
      <c r="P42" s="19" t="s">
        <v>294</v>
      </c>
      <c r="Q42" s="19" t="s">
        <v>259</v>
      </c>
      <c r="R42" s="19" t="s">
        <v>135</v>
      </c>
      <c r="S42" s="19" t="s">
        <v>131</v>
      </c>
      <c r="T42" s="16">
        <v>39.9</v>
      </c>
      <c r="U42" s="16">
        <v>16.79</v>
      </c>
      <c r="V42" s="16">
        <v>56.69</v>
      </c>
      <c r="W42" s="19" t="s">
        <v>937</v>
      </c>
      <c r="X42" s="19" t="s">
        <v>260</v>
      </c>
      <c r="Y42" s="12">
        <v>43177</v>
      </c>
      <c r="Z42" s="12">
        <v>43171</v>
      </c>
      <c r="AA42" s="12">
        <v>43177</v>
      </c>
    </row>
    <row r="43" spans="1:27" x14ac:dyDescent="0.25">
      <c r="A43">
        <v>39</v>
      </c>
      <c r="B43" s="19" t="s">
        <v>253</v>
      </c>
      <c r="C43" s="19" t="s">
        <v>254</v>
      </c>
      <c r="D43" s="19" t="s">
        <v>261</v>
      </c>
      <c r="E43" s="19" t="s">
        <v>262</v>
      </c>
      <c r="F43" s="19" t="s">
        <v>329</v>
      </c>
      <c r="G43" s="12">
        <v>43123</v>
      </c>
      <c r="H43" s="12">
        <v>43153</v>
      </c>
      <c r="I43">
        <v>25</v>
      </c>
      <c r="J43" s="12">
        <v>43129</v>
      </c>
      <c r="K43" t="b">
        <v>1</v>
      </c>
      <c r="L43" s="12">
        <v>43124</v>
      </c>
      <c r="M43" t="b">
        <v>0</v>
      </c>
      <c r="N43">
        <v>1</v>
      </c>
      <c r="O43">
        <v>1</v>
      </c>
      <c r="P43" s="19" t="s">
        <v>296</v>
      </c>
      <c r="Q43" s="19" t="s">
        <v>259</v>
      </c>
      <c r="R43" s="19" t="s">
        <v>135</v>
      </c>
      <c r="S43" s="19" t="s">
        <v>122</v>
      </c>
      <c r="T43" s="16">
        <v>139.9</v>
      </c>
      <c r="U43" s="16">
        <v>19.22</v>
      </c>
      <c r="V43" s="16">
        <v>159.12</v>
      </c>
      <c r="W43" s="19" t="s">
        <v>938</v>
      </c>
      <c r="X43" s="19" t="s">
        <v>265</v>
      </c>
      <c r="Y43" s="12">
        <v>43177</v>
      </c>
      <c r="Z43" s="12">
        <v>43171</v>
      </c>
      <c r="AA43" s="12">
        <v>43177</v>
      </c>
    </row>
    <row r="44" spans="1:27" x14ac:dyDescent="0.25">
      <c r="A44">
        <v>40</v>
      </c>
      <c r="B44" s="19" t="s">
        <v>253</v>
      </c>
      <c r="C44" s="19" t="s">
        <v>254</v>
      </c>
      <c r="D44" s="19" t="s">
        <v>261</v>
      </c>
      <c r="E44" s="19" t="s">
        <v>262</v>
      </c>
      <c r="F44" s="19" t="s">
        <v>330</v>
      </c>
      <c r="G44" s="12">
        <v>43124</v>
      </c>
      <c r="H44" s="12">
        <v>43153</v>
      </c>
      <c r="I44">
        <v>25</v>
      </c>
      <c r="J44" s="12">
        <v>43130</v>
      </c>
      <c r="K44" t="b">
        <v>1</v>
      </c>
      <c r="L44" s="12">
        <v>43129</v>
      </c>
      <c r="M44" t="b">
        <v>0</v>
      </c>
      <c r="N44">
        <v>1</v>
      </c>
      <c r="O44">
        <v>1</v>
      </c>
      <c r="P44" s="19" t="s">
        <v>331</v>
      </c>
      <c r="Q44" s="19" t="s">
        <v>259</v>
      </c>
      <c r="R44" s="19" t="s">
        <v>121</v>
      </c>
      <c r="S44" s="19" t="s">
        <v>127</v>
      </c>
      <c r="T44" s="16">
        <v>100.79</v>
      </c>
      <c r="U44" s="16">
        <v>17.96</v>
      </c>
      <c r="V44" s="16">
        <v>118.75</v>
      </c>
      <c r="W44" s="19" t="s">
        <v>939</v>
      </c>
      <c r="X44" s="19" t="s">
        <v>265</v>
      </c>
      <c r="Y44" s="12">
        <v>43177</v>
      </c>
      <c r="Z44" s="12">
        <v>43171</v>
      </c>
      <c r="AA44" s="12">
        <v>43177</v>
      </c>
    </row>
    <row r="45" spans="1:27" x14ac:dyDescent="0.25">
      <c r="A45">
        <v>41</v>
      </c>
      <c r="B45" s="19" t="s">
        <v>253</v>
      </c>
      <c r="C45" s="19" t="s">
        <v>254</v>
      </c>
      <c r="D45" s="19" t="s">
        <v>261</v>
      </c>
      <c r="E45" s="19" t="s">
        <v>262</v>
      </c>
      <c r="F45" s="19" t="s">
        <v>332</v>
      </c>
      <c r="G45" s="12">
        <v>43124</v>
      </c>
      <c r="H45" s="12">
        <v>43153</v>
      </c>
      <c r="I45">
        <v>25</v>
      </c>
      <c r="J45" s="12">
        <v>43130</v>
      </c>
      <c r="K45" t="b">
        <v>1</v>
      </c>
      <c r="L45" s="12">
        <v>43125</v>
      </c>
      <c r="M45" t="b">
        <v>0</v>
      </c>
      <c r="N45">
        <v>1</v>
      </c>
      <c r="O45">
        <v>1</v>
      </c>
      <c r="P45" s="19" t="s">
        <v>333</v>
      </c>
      <c r="Q45" s="19" t="s">
        <v>259</v>
      </c>
      <c r="R45" s="19" t="s">
        <v>121</v>
      </c>
      <c r="S45" s="19" t="s">
        <v>122</v>
      </c>
      <c r="T45" s="16">
        <v>59.9</v>
      </c>
      <c r="U45" s="16">
        <v>15.17</v>
      </c>
      <c r="V45" s="16">
        <v>75.069999999999993</v>
      </c>
      <c r="W45" s="19" t="s">
        <v>936</v>
      </c>
      <c r="X45" s="19" t="s">
        <v>265</v>
      </c>
      <c r="Y45" s="12">
        <v>43177</v>
      </c>
      <c r="Z45" s="12">
        <v>43171</v>
      </c>
      <c r="AA45" s="12">
        <v>43177</v>
      </c>
    </row>
    <row r="46" spans="1:27" x14ac:dyDescent="0.25">
      <c r="A46">
        <v>42</v>
      </c>
      <c r="B46" s="19" t="s">
        <v>253</v>
      </c>
      <c r="C46" s="19" t="s">
        <v>254</v>
      </c>
      <c r="D46" s="19" t="s">
        <v>261</v>
      </c>
      <c r="E46" s="19" t="s">
        <v>262</v>
      </c>
      <c r="F46" s="19" t="s">
        <v>334</v>
      </c>
      <c r="G46" s="12">
        <v>43118</v>
      </c>
      <c r="H46" s="12">
        <v>43153</v>
      </c>
      <c r="I46">
        <v>25</v>
      </c>
      <c r="J46" s="12">
        <v>43131</v>
      </c>
      <c r="K46" t="b">
        <v>1</v>
      </c>
      <c r="L46" s="12">
        <v>43118</v>
      </c>
      <c r="M46" t="b">
        <v>0</v>
      </c>
      <c r="N46">
        <v>1</v>
      </c>
      <c r="O46">
        <v>1</v>
      </c>
      <c r="P46" s="19" t="s">
        <v>335</v>
      </c>
      <c r="Q46" s="19" t="s">
        <v>259</v>
      </c>
      <c r="R46" s="19" t="s">
        <v>121</v>
      </c>
      <c r="S46" s="19" t="s">
        <v>129</v>
      </c>
      <c r="T46" s="16">
        <v>69.989999999999995</v>
      </c>
      <c r="U46" s="16">
        <v>17.059999999999999</v>
      </c>
      <c r="V46" s="16">
        <v>87.05</v>
      </c>
      <c r="W46" s="19" t="s">
        <v>940</v>
      </c>
      <c r="X46" s="19" t="s">
        <v>265</v>
      </c>
      <c r="Y46" s="12">
        <v>43177</v>
      </c>
      <c r="Z46" s="12">
        <v>43171</v>
      </c>
      <c r="AA46" s="12">
        <v>43177</v>
      </c>
    </row>
    <row r="47" spans="1:27" x14ac:dyDescent="0.25">
      <c r="A47">
        <v>43</v>
      </c>
      <c r="B47" s="19" t="s">
        <v>253</v>
      </c>
      <c r="C47" s="19" t="s">
        <v>254</v>
      </c>
      <c r="D47" s="19" t="s">
        <v>261</v>
      </c>
      <c r="E47" s="19" t="s">
        <v>262</v>
      </c>
      <c r="F47" s="19" t="s">
        <v>336</v>
      </c>
      <c r="G47" s="12">
        <v>43127</v>
      </c>
      <c r="H47" s="12">
        <v>43153</v>
      </c>
      <c r="I47">
        <v>25</v>
      </c>
      <c r="J47" s="12">
        <v>43132</v>
      </c>
      <c r="K47" t="b">
        <v>1</v>
      </c>
      <c r="L47" s="12">
        <v>43130</v>
      </c>
      <c r="M47" t="b">
        <v>0</v>
      </c>
      <c r="N47">
        <v>1</v>
      </c>
      <c r="O47">
        <v>1</v>
      </c>
      <c r="P47" s="19" t="s">
        <v>337</v>
      </c>
      <c r="Q47" s="19" t="s">
        <v>259</v>
      </c>
      <c r="R47" s="19" t="s">
        <v>122</v>
      </c>
      <c r="S47" s="19" t="s">
        <v>121</v>
      </c>
      <c r="T47" s="16">
        <v>1149.6500000000001</v>
      </c>
      <c r="U47" s="16">
        <v>22.8</v>
      </c>
      <c r="V47" s="16">
        <v>1172.45</v>
      </c>
      <c r="W47" s="19" t="s">
        <v>941</v>
      </c>
      <c r="X47" s="19" t="s">
        <v>265</v>
      </c>
      <c r="Y47" s="12">
        <v>43177</v>
      </c>
      <c r="Z47" s="12">
        <v>43171</v>
      </c>
      <c r="AA47" s="12">
        <v>43177</v>
      </c>
    </row>
    <row r="48" spans="1:27" x14ac:dyDescent="0.25">
      <c r="A48">
        <v>44</v>
      </c>
      <c r="B48" s="19" t="s">
        <v>253</v>
      </c>
      <c r="C48" s="19" t="s">
        <v>254</v>
      </c>
      <c r="D48" s="19" t="s">
        <v>261</v>
      </c>
      <c r="E48" s="19" t="s">
        <v>262</v>
      </c>
      <c r="F48" s="19" t="s">
        <v>338</v>
      </c>
      <c r="G48" s="12">
        <v>43126</v>
      </c>
      <c r="H48" s="12">
        <v>43153</v>
      </c>
      <c r="I48">
        <v>25</v>
      </c>
      <c r="J48" s="12">
        <v>43132</v>
      </c>
      <c r="K48" t="b">
        <v>1</v>
      </c>
      <c r="L48" s="12">
        <v>43129</v>
      </c>
      <c r="M48" t="b">
        <v>0</v>
      </c>
      <c r="N48">
        <v>1</v>
      </c>
      <c r="O48">
        <v>1</v>
      </c>
      <c r="P48" s="19" t="s">
        <v>339</v>
      </c>
      <c r="Q48" s="19" t="s">
        <v>259</v>
      </c>
      <c r="R48" s="19" t="s">
        <v>131</v>
      </c>
      <c r="S48" s="19" t="s">
        <v>121</v>
      </c>
      <c r="T48" s="16">
        <v>69.900000000000006</v>
      </c>
      <c r="U48" s="16">
        <v>26.11</v>
      </c>
      <c r="V48" s="16">
        <v>96.01</v>
      </c>
      <c r="W48" s="19" t="s">
        <v>939</v>
      </c>
      <c r="X48" s="19" t="s">
        <v>265</v>
      </c>
      <c r="Y48" s="12">
        <v>43177</v>
      </c>
      <c r="Z48" s="12">
        <v>43171</v>
      </c>
      <c r="AA48" s="12">
        <v>43177</v>
      </c>
    </row>
    <row r="49" spans="1:27" x14ac:dyDescent="0.25">
      <c r="A49">
        <v>45</v>
      </c>
      <c r="B49" s="19" t="s">
        <v>253</v>
      </c>
      <c r="C49" s="19" t="s">
        <v>254</v>
      </c>
      <c r="D49" s="19" t="s">
        <v>261</v>
      </c>
      <c r="E49" s="19" t="s">
        <v>262</v>
      </c>
      <c r="F49" s="19" t="s">
        <v>340</v>
      </c>
      <c r="G49" s="12">
        <v>43125</v>
      </c>
      <c r="H49" s="12">
        <v>43153</v>
      </c>
      <c r="I49">
        <v>25</v>
      </c>
      <c r="J49" s="12">
        <v>43132</v>
      </c>
      <c r="K49" t="b">
        <v>1</v>
      </c>
      <c r="L49" s="12">
        <v>43126</v>
      </c>
      <c r="M49" t="b">
        <v>0</v>
      </c>
      <c r="N49">
        <v>1</v>
      </c>
      <c r="O49">
        <v>1</v>
      </c>
      <c r="P49" s="19" t="s">
        <v>341</v>
      </c>
      <c r="Q49" s="19" t="s">
        <v>259</v>
      </c>
      <c r="R49" s="19" t="s">
        <v>121</v>
      </c>
      <c r="S49" s="19" t="s">
        <v>152</v>
      </c>
      <c r="T49" s="16">
        <v>30.5</v>
      </c>
      <c r="U49" s="16">
        <v>17.63</v>
      </c>
      <c r="V49" s="16">
        <v>48.13</v>
      </c>
      <c r="W49" s="19" t="s">
        <v>942</v>
      </c>
      <c r="X49" s="19" t="s">
        <v>265</v>
      </c>
      <c r="Y49" s="12">
        <v>43177</v>
      </c>
      <c r="Z49" s="12">
        <v>43171</v>
      </c>
      <c r="AA49" s="12">
        <v>43177</v>
      </c>
    </row>
    <row r="50" spans="1:27" x14ac:dyDescent="0.25">
      <c r="A50">
        <v>46</v>
      </c>
      <c r="B50" s="19" t="s">
        <v>253</v>
      </c>
      <c r="C50" s="19" t="s">
        <v>254</v>
      </c>
      <c r="D50" s="19" t="s">
        <v>261</v>
      </c>
      <c r="E50" s="19" t="s">
        <v>262</v>
      </c>
      <c r="F50" s="19" t="s">
        <v>342</v>
      </c>
      <c r="G50" s="12">
        <v>43130</v>
      </c>
      <c r="H50" s="12">
        <v>43153</v>
      </c>
      <c r="I50">
        <v>25</v>
      </c>
      <c r="J50" s="12">
        <v>43136</v>
      </c>
      <c r="K50" t="b">
        <v>1</v>
      </c>
      <c r="L50" s="12">
        <v>43131</v>
      </c>
      <c r="M50" t="b">
        <v>0</v>
      </c>
      <c r="N50">
        <v>1</v>
      </c>
      <c r="O50">
        <v>1</v>
      </c>
      <c r="P50" s="19" t="s">
        <v>343</v>
      </c>
      <c r="Q50" s="19" t="s">
        <v>259</v>
      </c>
      <c r="R50" s="19" t="s">
        <v>121</v>
      </c>
      <c r="S50" s="19" t="s">
        <v>146</v>
      </c>
      <c r="T50" s="16">
        <v>349.49</v>
      </c>
      <c r="U50" s="16">
        <v>28.77</v>
      </c>
      <c r="V50" s="16">
        <v>378.26</v>
      </c>
      <c r="W50" s="19" t="s">
        <v>943</v>
      </c>
      <c r="X50" s="19" t="s">
        <v>265</v>
      </c>
      <c r="Y50" s="12">
        <v>43177</v>
      </c>
      <c r="Z50" s="12">
        <v>43171</v>
      </c>
      <c r="AA50" s="12">
        <v>43177</v>
      </c>
    </row>
    <row r="51" spans="1:27" x14ac:dyDescent="0.25">
      <c r="A51">
        <v>47</v>
      </c>
      <c r="B51" s="19" t="s">
        <v>253</v>
      </c>
      <c r="C51" s="19" t="s">
        <v>254</v>
      </c>
      <c r="D51" s="19" t="s">
        <v>261</v>
      </c>
      <c r="E51" s="19" t="s">
        <v>262</v>
      </c>
      <c r="F51" s="19" t="s">
        <v>344</v>
      </c>
      <c r="G51" s="12">
        <v>43130</v>
      </c>
      <c r="H51" s="12">
        <v>43153</v>
      </c>
      <c r="I51">
        <v>25</v>
      </c>
      <c r="J51" s="12">
        <v>43136</v>
      </c>
      <c r="K51" t="b">
        <v>1</v>
      </c>
      <c r="L51" s="12">
        <v>43132</v>
      </c>
      <c r="M51" t="b">
        <v>0</v>
      </c>
      <c r="N51">
        <v>1</v>
      </c>
      <c r="O51">
        <v>1</v>
      </c>
      <c r="P51" s="19" t="s">
        <v>306</v>
      </c>
      <c r="Q51" s="19" t="s">
        <v>259</v>
      </c>
      <c r="R51" s="19" t="s">
        <v>131</v>
      </c>
      <c r="S51" s="19" t="s">
        <v>121</v>
      </c>
      <c r="T51" s="16">
        <v>35.9</v>
      </c>
      <c r="U51" s="16">
        <v>15.1</v>
      </c>
      <c r="V51" s="16">
        <v>51</v>
      </c>
      <c r="W51" s="19" t="s">
        <v>944</v>
      </c>
      <c r="X51" s="19" t="s">
        <v>265</v>
      </c>
      <c r="Y51" s="12">
        <v>43177</v>
      </c>
      <c r="Z51" s="12">
        <v>43171</v>
      </c>
      <c r="AA51" s="12">
        <v>43177</v>
      </c>
    </row>
    <row r="52" spans="1:27" x14ac:dyDescent="0.25">
      <c r="A52">
        <v>48</v>
      </c>
      <c r="B52" s="19" t="s">
        <v>253</v>
      </c>
      <c r="C52" s="19" t="s">
        <v>254</v>
      </c>
      <c r="D52" s="19" t="s">
        <v>261</v>
      </c>
      <c r="E52" s="19" t="s">
        <v>262</v>
      </c>
      <c r="F52" s="19" t="s">
        <v>345</v>
      </c>
      <c r="G52" s="12">
        <v>43131</v>
      </c>
      <c r="H52" s="12">
        <v>43153</v>
      </c>
      <c r="I52">
        <v>25</v>
      </c>
      <c r="J52" s="12">
        <v>43137</v>
      </c>
      <c r="K52" t="b">
        <v>1</v>
      </c>
      <c r="L52" s="12">
        <v>43134</v>
      </c>
      <c r="M52" t="b">
        <v>0</v>
      </c>
      <c r="N52">
        <v>1</v>
      </c>
      <c r="O52">
        <v>1</v>
      </c>
      <c r="P52" s="19" t="s">
        <v>346</v>
      </c>
      <c r="Q52" s="19" t="s">
        <v>259</v>
      </c>
      <c r="R52" s="19" t="s">
        <v>131</v>
      </c>
      <c r="S52" s="19" t="s">
        <v>122</v>
      </c>
      <c r="T52" s="16">
        <v>130</v>
      </c>
      <c r="U52" s="16">
        <v>15.67</v>
      </c>
      <c r="V52" s="16">
        <v>145.66999999999999</v>
      </c>
      <c r="W52" s="19" t="s">
        <v>935</v>
      </c>
      <c r="X52" s="19" t="s">
        <v>265</v>
      </c>
      <c r="Y52" s="12">
        <v>43177</v>
      </c>
      <c r="Z52" s="12">
        <v>43171</v>
      </c>
      <c r="AA52" s="12">
        <v>43177</v>
      </c>
    </row>
    <row r="53" spans="1:27" x14ac:dyDescent="0.25">
      <c r="A53">
        <v>49</v>
      </c>
      <c r="B53" s="19" t="s">
        <v>253</v>
      </c>
      <c r="C53" s="19" t="s">
        <v>254</v>
      </c>
      <c r="D53" s="19" t="s">
        <v>255</v>
      </c>
      <c r="E53" s="19" t="s">
        <v>256</v>
      </c>
      <c r="F53" s="19" t="s">
        <v>347</v>
      </c>
      <c r="G53" s="12">
        <v>43135</v>
      </c>
      <c r="H53" s="12">
        <v>43153</v>
      </c>
      <c r="I53">
        <v>25</v>
      </c>
      <c r="J53" s="12">
        <v>43140</v>
      </c>
      <c r="K53" t="b">
        <v>1</v>
      </c>
      <c r="L53" s="12"/>
      <c r="M53" t="b">
        <v>0</v>
      </c>
      <c r="N53">
        <v>2</v>
      </c>
      <c r="O53">
        <v>1</v>
      </c>
      <c r="P53" s="19" t="s">
        <v>348</v>
      </c>
      <c r="Q53" s="19" t="s">
        <v>259</v>
      </c>
      <c r="R53" s="19" t="s">
        <v>121</v>
      </c>
      <c r="S53" s="19" t="s">
        <v>121</v>
      </c>
      <c r="T53" s="16">
        <v>49.5</v>
      </c>
      <c r="U53" s="16">
        <v>17.440000000000001</v>
      </c>
      <c r="V53" s="16">
        <v>66.94</v>
      </c>
      <c r="W53" s="19" t="s">
        <v>945</v>
      </c>
      <c r="X53" s="19" t="s">
        <v>260</v>
      </c>
      <c r="Y53" s="12">
        <v>43177</v>
      </c>
      <c r="Z53" s="12">
        <v>43171</v>
      </c>
      <c r="AA53" s="12">
        <v>43177</v>
      </c>
    </row>
    <row r="54" spans="1:27" x14ac:dyDescent="0.25">
      <c r="A54">
        <v>50</v>
      </c>
      <c r="B54" s="19" t="s">
        <v>253</v>
      </c>
      <c r="C54" s="19" t="s">
        <v>254</v>
      </c>
      <c r="D54" s="19" t="s">
        <v>261</v>
      </c>
      <c r="E54" s="19" t="s">
        <v>262</v>
      </c>
      <c r="F54" s="19" t="s">
        <v>349</v>
      </c>
      <c r="G54" s="12">
        <v>43137</v>
      </c>
      <c r="H54" s="12">
        <v>43153</v>
      </c>
      <c r="I54">
        <v>25</v>
      </c>
      <c r="J54" s="12">
        <v>43144</v>
      </c>
      <c r="K54" t="b">
        <v>1</v>
      </c>
      <c r="L54" s="12">
        <v>43140</v>
      </c>
      <c r="M54" t="b">
        <v>0</v>
      </c>
      <c r="N54">
        <v>1</v>
      </c>
      <c r="O54">
        <v>1</v>
      </c>
      <c r="P54" s="19" t="s">
        <v>306</v>
      </c>
      <c r="Q54" s="19" t="s">
        <v>259</v>
      </c>
      <c r="R54" s="19" t="s">
        <v>131</v>
      </c>
      <c r="S54" s="19" t="s">
        <v>131</v>
      </c>
      <c r="T54" s="16">
        <v>99.9</v>
      </c>
      <c r="U54" s="16">
        <v>9.91</v>
      </c>
      <c r="V54" s="16">
        <v>109.81</v>
      </c>
      <c r="W54" s="19" t="s">
        <v>946</v>
      </c>
      <c r="X54" s="19" t="s">
        <v>265</v>
      </c>
      <c r="Y54" s="12">
        <v>43177</v>
      </c>
      <c r="Z54" s="12">
        <v>43171</v>
      </c>
      <c r="AA54" s="12">
        <v>43177</v>
      </c>
    </row>
    <row r="55" spans="1:27" x14ac:dyDescent="0.25">
      <c r="A55">
        <v>51</v>
      </c>
      <c r="B55" s="19" t="s">
        <v>253</v>
      </c>
      <c r="C55" s="19" t="s">
        <v>254</v>
      </c>
      <c r="D55" s="19" t="s">
        <v>255</v>
      </c>
      <c r="E55" s="19" t="s">
        <v>256</v>
      </c>
      <c r="F55" s="19" t="s">
        <v>350</v>
      </c>
      <c r="G55" s="12">
        <v>43137</v>
      </c>
      <c r="H55" s="12">
        <v>43153</v>
      </c>
      <c r="I55">
        <v>25</v>
      </c>
      <c r="J55" s="12">
        <v>43144</v>
      </c>
      <c r="K55" t="b">
        <v>1</v>
      </c>
      <c r="L55" s="12"/>
      <c r="M55" t="b">
        <v>0</v>
      </c>
      <c r="N55">
        <v>1</v>
      </c>
      <c r="O55">
        <v>1</v>
      </c>
      <c r="P55" s="19" t="s">
        <v>308</v>
      </c>
      <c r="Q55" s="19" t="s">
        <v>259</v>
      </c>
      <c r="R55" s="19" t="s">
        <v>121</v>
      </c>
      <c r="S55" s="19" t="s">
        <v>121</v>
      </c>
      <c r="T55" s="16">
        <v>19.5</v>
      </c>
      <c r="U55" s="16">
        <v>8.7200000000000006</v>
      </c>
      <c r="V55" s="16">
        <v>28.22</v>
      </c>
      <c r="W55" s="19" t="s">
        <v>947</v>
      </c>
      <c r="X55" s="19" t="s">
        <v>260</v>
      </c>
      <c r="Y55" s="12">
        <v>43177</v>
      </c>
      <c r="Z55" s="12">
        <v>43171</v>
      </c>
      <c r="AA55" s="12">
        <v>43177</v>
      </c>
    </row>
    <row r="56" spans="1:27" x14ac:dyDescent="0.25">
      <c r="A56">
        <v>52</v>
      </c>
      <c r="B56" s="19" t="s">
        <v>253</v>
      </c>
      <c r="C56" s="19" t="s">
        <v>254</v>
      </c>
      <c r="D56" s="19" t="s">
        <v>261</v>
      </c>
      <c r="E56" s="19" t="s">
        <v>262</v>
      </c>
      <c r="F56" s="19" t="s">
        <v>351</v>
      </c>
      <c r="G56" s="12">
        <v>43139</v>
      </c>
      <c r="H56" s="12">
        <v>43153</v>
      </c>
      <c r="I56">
        <v>25</v>
      </c>
      <c r="J56" s="12">
        <v>43145</v>
      </c>
      <c r="K56" t="b">
        <v>1</v>
      </c>
      <c r="L56" s="12">
        <v>43140</v>
      </c>
      <c r="M56" t="b">
        <v>0</v>
      </c>
      <c r="N56">
        <v>1</v>
      </c>
      <c r="O56">
        <v>1</v>
      </c>
      <c r="P56" s="19" t="s">
        <v>352</v>
      </c>
      <c r="Q56" s="19" t="s">
        <v>259</v>
      </c>
      <c r="R56" s="19" t="s">
        <v>121</v>
      </c>
      <c r="S56" s="19" t="s">
        <v>121</v>
      </c>
      <c r="T56" s="16">
        <v>129.9</v>
      </c>
      <c r="U56" s="16">
        <v>9.1</v>
      </c>
      <c r="V56" s="16">
        <v>139</v>
      </c>
      <c r="W56" s="19" t="s">
        <v>946</v>
      </c>
      <c r="X56" s="19" t="s">
        <v>265</v>
      </c>
      <c r="Y56" s="12">
        <v>43177</v>
      </c>
      <c r="Z56" s="12">
        <v>43171</v>
      </c>
      <c r="AA56" s="12">
        <v>43177</v>
      </c>
    </row>
    <row r="57" spans="1:27" x14ac:dyDescent="0.25">
      <c r="A57">
        <v>53</v>
      </c>
      <c r="B57" s="19" t="s">
        <v>253</v>
      </c>
      <c r="C57" s="19" t="s">
        <v>254</v>
      </c>
      <c r="D57" s="19" t="s">
        <v>261</v>
      </c>
      <c r="E57" s="19" t="s">
        <v>262</v>
      </c>
      <c r="F57" s="19" t="s">
        <v>353</v>
      </c>
      <c r="G57" s="12">
        <v>43139</v>
      </c>
      <c r="H57" s="12">
        <v>43153</v>
      </c>
      <c r="I57">
        <v>25</v>
      </c>
      <c r="J57" s="12">
        <v>43145</v>
      </c>
      <c r="K57" t="b">
        <v>1</v>
      </c>
      <c r="L57" s="12">
        <v>43140</v>
      </c>
      <c r="M57" t="b">
        <v>0</v>
      </c>
      <c r="N57">
        <v>1</v>
      </c>
      <c r="O57">
        <v>1</v>
      </c>
      <c r="P57" s="19" t="s">
        <v>354</v>
      </c>
      <c r="Q57" s="19" t="s">
        <v>259</v>
      </c>
      <c r="R57" s="19" t="s">
        <v>121</v>
      </c>
      <c r="S57" s="19" t="s">
        <v>121</v>
      </c>
      <c r="T57" s="16">
        <v>29.99</v>
      </c>
      <c r="U57" s="16">
        <v>7.78</v>
      </c>
      <c r="V57" s="16">
        <v>37.770000000000003</v>
      </c>
      <c r="W57" s="19" t="s">
        <v>946</v>
      </c>
      <c r="X57" s="19" t="s">
        <v>265</v>
      </c>
      <c r="Y57" s="12">
        <v>43177</v>
      </c>
      <c r="Z57" s="12">
        <v>43171</v>
      </c>
      <c r="AA57" s="12">
        <v>43177</v>
      </c>
    </row>
    <row r="58" spans="1:27" x14ac:dyDescent="0.25">
      <c r="A58">
        <v>54</v>
      </c>
      <c r="B58" s="19" t="s">
        <v>253</v>
      </c>
      <c r="C58" s="19" t="s">
        <v>254</v>
      </c>
      <c r="D58" s="19" t="s">
        <v>261</v>
      </c>
      <c r="E58" s="19" t="s">
        <v>262</v>
      </c>
      <c r="F58" s="19" t="s">
        <v>355</v>
      </c>
      <c r="G58" s="12">
        <v>43111</v>
      </c>
      <c r="H58" s="12">
        <v>43154</v>
      </c>
      <c r="I58">
        <v>24</v>
      </c>
      <c r="J58" s="12">
        <v>43122</v>
      </c>
      <c r="K58" t="b">
        <v>1</v>
      </c>
      <c r="L58" s="12">
        <v>43115</v>
      </c>
      <c r="M58" t="b">
        <v>0</v>
      </c>
      <c r="N58">
        <v>1</v>
      </c>
      <c r="O58">
        <v>1</v>
      </c>
      <c r="P58" s="19" t="s">
        <v>356</v>
      </c>
      <c r="Q58" s="19" t="s">
        <v>259</v>
      </c>
      <c r="R58" s="19" t="s">
        <v>121</v>
      </c>
      <c r="S58" s="19" t="s">
        <v>152</v>
      </c>
      <c r="T58" s="16">
        <v>139</v>
      </c>
      <c r="U58" s="16">
        <v>29.37</v>
      </c>
      <c r="V58" s="16">
        <v>168.37</v>
      </c>
      <c r="W58" s="19" t="s">
        <v>948</v>
      </c>
      <c r="X58" s="19" t="s">
        <v>265</v>
      </c>
      <c r="Y58" s="12">
        <v>43177</v>
      </c>
      <c r="Z58" s="12">
        <v>43171</v>
      </c>
      <c r="AA58" s="12">
        <v>43177</v>
      </c>
    </row>
    <row r="59" spans="1:27" x14ac:dyDescent="0.25">
      <c r="A59">
        <v>55</v>
      </c>
      <c r="B59" s="19" t="s">
        <v>253</v>
      </c>
      <c r="C59" s="19" t="s">
        <v>254</v>
      </c>
      <c r="D59" s="19" t="s">
        <v>261</v>
      </c>
      <c r="E59" s="19" t="s">
        <v>262</v>
      </c>
      <c r="F59" s="19" t="s">
        <v>357</v>
      </c>
      <c r="G59" s="12">
        <v>43117</v>
      </c>
      <c r="H59" s="12">
        <v>43154</v>
      </c>
      <c r="I59">
        <v>24</v>
      </c>
      <c r="J59" s="12">
        <v>43123</v>
      </c>
      <c r="K59" t="b">
        <v>1</v>
      </c>
      <c r="L59" s="12">
        <v>43124</v>
      </c>
      <c r="M59" t="b">
        <v>0</v>
      </c>
      <c r="N59">
        <v>1</v>
      </c>
      <c r="O59">
        <v>1</v>
      </c>
      <c r="P59" s="19" t="s">
        <v>356</v>
      </c>
      <c r="Q59" s="19" t="s">
        <v>259</v>
      </c>
      <c r="R59" s="19" t="s">
        <v>121</v>
      </c>
      <c r="S59" s="19" t="s">
        <v>152</v>
      </c>
      <c r="T59" s="16">
        <v>89</v>
      </c>
      <c r="U59" s="16">
        <v>29.02</v>
      </c>
      <c r="V59" s="16">
        <v>118.02</v>
      </c>
      <c r="W59" s="19" t="s">
        <v>949</v>
      </c>
      <c r="X59" s="19" t="s">
        <v>265</v>
      </c>
      <c r="Y59" s="12">
        <v>43177</v>
      </c>
      <c r="Z59" s="12">
        <v>43171</v>
      </c>
      <c r="AA59" s="12">
        <v>43177</v>
      </c>
    </row>
    <row r="60" spans="1:27" x14ac:dyDescent="0.25">
      <c r="A60">
        <v>56</v>
      </c>
      <c r="B60" s="19" t="s">
        <v>253</v>
      </c>
      <c r="C60" s="19" t="s">
        <v>254</v>
      </c>
      <c r="D60" s="19" t="s">
        <v>261</v>
      </c>
      <c r="E60" s="19" t="s">
        <v>262</v>
      </c>
      <c r="F60" s="19" t="s">
        <v>358</v>
      </c>
      <c r="G60" s="12">
        <v>43124</v>
      </c>
      <c r="H60" s="12">
        <v>43154</v>
      </c>
      <c r="I60">
        <v>24</v>
      </c>
      <c r="J60" s="12">
        <v>43131</v>
      </c>
      <c r="K60" t="b">
        <v>1</v>
      </c>
      <c r="L60" s="12">
        <v>43126</v>
      </c>
      <c r="M60" t="b">
        <v>0</v>
      </c>
      <c r="N60">
        <v>1</v>
      </c>
      <c r="O60">
        <v>1</v>
      </c>
      <c r="P60" s="19" t="s">
        <v>359</v>
      </c>
      <c r="Q60" s="19" t="s">
        <v>259</v>
      </c>
      <c r="R60" s="19" t="s">
        <v>125</v>
      </c>
      <c r="S60" s="19" t="s">
        <v>129</v>
      </c>
      <c r="T60" s="16">
        <v>2029</v>
      </c>
      <c r="U60" s="16">
        <v>63.86</v>
      </c>
      <c r="V60" s="16">
        <v>2092.86</v>
      </c>
      <c r="W60" s="19" t="s">
        <v>950</v>
      </c>
      <c r="X60" s="19" t="s">
        <v>265</v>
      </c>
      <c r="Y60" s="12">
        <v>43177</v>
      </c>
      <c r="Z60" s="12">
        <v>43171</v>
      </c>
      <c r="AA60" s="12">
        <v>43177</v>
      </c>
    </row>
    <row r="61" spans="1:27" x14ac:dyDescent="0.25">
      <c r="A61">
        <v>57</v>
      </c>
      <c r="B61" s="19" t="s">
        <v>253</v>
      </c>
      <c r="C61" s="19" t="s">
        <v>254</v>
      </c>
      <c r="D61" s="19" t="s">
        <v>261</v>
      </c>
      <c r="E61" s="19" t="s">
        <v>262</v>
      </c>
      <c r="F61" s="19" t="s">
        <v>360</v>
      </c>
      <c r="G61" s="12">
        <v>43125</v>
      </c>
      <c r="H61" s="12">
        <v>43154</v>
      </c>
      <c r="I61">
        <v>24</v>
      </c>
      <c r="J61" s="12">
        <v>43131</v>
      </c>
      <c r="K61" t="b">
        <v>1</v>
      </c>
      <c r="L61" s="12">
        <v>43126</v>
      </c>
      <c r="M61" t="b">
        <v>0</v>
      </c>
      <c r="N61">
        <v>1</v>
      </c>
      <c r="O61">
        <v>1</v>
      </c>
      <c r="P61" s="19" t="s">
        <v>361</v>
      </c>
      <c r="Q61" s="19" t="s">
        <v>259</v>
      </c>
      <c r="R61" s="19" t="s">
        <v>135</v>
      </c>
      <c r="S61" s="19" t="s">
        <v>131</v>
      </c>
      <c r="T61" s="16">
        <v>69.900000000000006</v>
      </c>
      <c r="U61" s="16">
        <v>16.93</v>
      </c>
      <c r="V61" s="16">
        <v>86.83</v>
      </c>
      <c r="W61" s="19" t="s">
        <v>950</v>
      </c>
      <c r="X61" s="19" t="s">
        <v>265</v>
      </c>
      <c r="Y61" s="12">
        <v>43177</v>
      </c>
      <c r="Z61" s="12">
        <v>43171</v>
      </c>
      <c r="AA61" s="12">
        <v>43177</v>
      </c>
    </row>
    <row r="62" spans="1:27" x14ac:dyDescent="0.25">
      <c r="A62">
        <v>58</v>
      </c>
      <c r="B62" s="19" t="s">
        <v>253</v>
      </c>
      <c r="C62" s="19" t="s">
        <v>254</v>
      </c>
      <c r="D62" s="19" t="s">
        <v>261</v>
      </c>
      <c r="E62" s="19" t="s">
        <v>262</v>
      </c>
      <c r="F62" s="19" t="s">
        <v>362</v>
      </c>
      <c r="G62" s="12">
        <v>43125</v>
      </c>
      <c r="H62" s="12">
        <v>43154</v>
      </c>
      <c r="I62">
        <v>24</v>
      </c>
      <c r="J62" s="12">
        <v>43131</v>
      </c>
      <c r="K62" t="b">
        <v>1</v>
      </c>
      <c r="L62" s="12">
        <v>43126</v>
      </c>
      <c r="M62" t="b">
        <v>0</v>
      </c>
      <c r="N62">
        <v>1</v>
      </c>
      <c r="O62">
        <v>1</v>
      </c>
      <c r="P62" s="19" t="s">
        <v>363</v>
      </c>
      <c r="Q62" s="19" t="s">
        <v>259</v>
      </c>
      <c r="R62" s="19" t="s">
        <v>121</v>
      </c>
      <c r="S62" s="19" t="s">
        <v>135</v>
      </c>
      <c r="T62" s="16">
        <v>35.9</v>
      </c>
      <c r="U62" s="16">
        <v>15.1</v>
      </c>
      <c r="V62" s="16">
        <v>51</v>
      </c>
      <c r="W62" s="19" t="s">
        <v>950</v>
      </c>
      <c r="X62" s="19" t="s">
        <v>265</v>
      </c>
      <c r="Y62" s="12">
        <v>43177</v>
      </c>
      <c r="Z62" s="12">
        <v>43171</v>
      </c>
      <c r="AA62" s="12">
        <v>43177</v>
      </c>
    </row>
    <row r="63" spans="1:27" x14ac:dyDescent="0.25">
      <c r="A63">
        <v>59</v>
      </c>
      <c r="B63" s="19" t="s">
        <v>253</v>
      </c>
      <c r="C63" s="19" t="s">
        <v>254</v>
      </c>
      <c r="D63" s="19" t="s">
        <v>261</v>
      </c>
      <c r="E63" s="19" t="s">
        <v>262</v>
      </c>
      <c r="F63" s="19" t="s">
        <v>364</v>
      </c>
      <c r="G63" s="12">
        <v>43124</v>
      </c>
      <c r="H63" s="12">
        <v>43154</v>
      </c>
      <c r="I63">
        <v>24</v>
      </c>
      <c r="J63" s="12">
        <v>43132</v>
      </c>
      <c r="K63" t="b">
        <v>1</v>
      </c>
      <c r="L63" s="12">
        <v>43125</v>
      </c>
      <c r="M63" t="b">
        <v>0</v>
      </c>
      <c r="N63">
        <v>1</v>
      </c>
      <c r="O63">
        <v>1</v>
      </c>
      <c r="P63" s="19" t="s">
        <v>365</v>
      </c>
      <c r="Q63" s="19" t="s">
        <v>259</v>
      </c>
      <c r="R63" s="19" t="s">
        <v>121</v>
      </c>
      <c r="S63" s="19" t="s">
        <v>152</v>
      </c>
      <c r="T63" s="16">
        <v>84.99</v>
      </c>
      <c r="U63" s="16">
        <v>19.13</v>
      </c>
      <c r="V63" s="16">
        <v>104.12</v>
      </c>
      <c r="W63" s="19" t="s">
        <v>951</v>
      </c>
      <c r="X63" s="19" t="s">
        <v>265</v>
      </c>
      <c r="Y63" s="12">
        <v>43177</v>
      </c>
      <c r="Z63" s="12">
        <v>43171</v>
      </c>
      <c r="AA63" s="12">
        <v>43177</v>
      </c>
    </row>
    <row r="64" spans="1:27" x14ac:dyDescent="0.25">
      <c r="A64">
        <v>60</v>
      </c>
      <c r="B64" s="19" t="s">
        <v>253</v>
      </c>
      <c r="C64" s="19" t="s">
        <v>254</v>
      </c>
      <c r="D64" s="19" t="s">
        <v>261</v>
      </c>
      <c r="E64" s="19" t="s">
        <v>262</v>
      </c>
      <c r="F64" s="19" t="s">
        <v>366</v>
      </c>
      <c r="G64" s="12">
        <v>43129</v>
      </c>
      <c r="H64" s="12">
        <v>43154</v>
      </c>
      <c r="I64">
        <v>24</v>
      </c>
      <c r="J64" s="12">
        <v>43135</v>
      </c>
      <c r="K64" t="b">
        <v>1</v>
      </c>
      <c r="L64" s="12">
        <v>43131</v>
      </c>
      <c r="M64" t="b">
        <v>0</v>
      </c>
      <c r="N64">
        <v>1</v>
      </c>
      <c r="O64">
        <v>1</v>
      </c>
      <c r="P64" s="19" t="s">
        <v>367</v>
      </c>
      <c r="Q64" s="19" t="s">
        <v>259</v>
      </c>
      <c r="R64" s="19" t="s">
        <v>121</v>
      </c>
      <c r="S64" s="19" t="s">
        <v>131</v>
      </c>
      <c r="T64" s="16">
        <v>170</v>
      </c>
      <c r="U64" s="16">
        <v>18.440000000000001</v>
      </c>
      <c r="V64" s="16">
        <v>188.44</v>
      </c>
      <c r="W64" s="19" t="s">
        <v>952</v>
      </c>
      <c r="X64" s="19" t="s">
        <v>265</v>
      </c>
      <c r="Y64" s="12">
        <v>43177</v>
      </c>
      <c r="Z64" s="12">
        <v>43171</v>
      </c>
      <c r="AA64" s="12">
        <v>43177</v>
      </c>
    </row>
    <row r="65" spans="1:27" x14ac:dyDescent="0.25">
      <c r="A65">
        <v>61</v>
      </c>
      <c r="B65" s="19" t="s">
        <v>253</v>
      </c>
      <c r="C65" s="19" t="s">
        <v>254</v>
      </c>
      <c r="D65" s="19" t="s">
        <v>261</v>
      </c>
      <c r="E65" s="19" t="s">
        <v>262</v>
      </c>
      <c r="F65" s="19" t="s">
        <v>368</v>
      </c>
      <c r="G65" s="12">
        <v>43130</v>
      </c>
      <c r="H65" s="12">
        <v>43154</v>
      </c>
      <c r="I65">
        <v>24</v>
      </c>
      <c r="J65" s="12">
        <v>43136</v>
      </c>
      <c r="K65" t="b">
        <v>1</v>
      </c>
      <c r="L65" s="12">
        <v>43132</v>
      </c>
      <c r="M65" t="b">
        <v>0</v>
      </c>
      <c r="N65">
        <v>2</v>
      </c>
      <c r="O65">
        <v>1</v>
      </c>
      <c r="P65" s="19" t="s">
        <v>369</v>
      </c>
      <c r="Q65" s="19" t="s">
        <v>259</v>
      </c>
      <c r="R65" s="19" t="s">
        <v>121</v>
      </c>
      <c r="S65" s="19" t="s">
        <v>122</v>
      </c>
      <c r="T65" s="16">
        <v>80</v>
      </c>
      <c r="U65" s="16">
        <v>35.200000000000003</v>
      </c>
      <c r="V65" s="16">
        <v>115.2</v>
      </c>
      <c r="W65" s="19" t="s">
        <v>953</v>
      </c>
      <c r="X65" s="19" t="s">
        <v>265</v>
      </c>
      <c r="Y65" s="12">
        <v>43177</v>
      </c>
      <c r="Z65" s="12">
        <v>43171</v>
      </c>
      <c r="AA65" s="12">
        <v>43177</v>
      </c>
    </row>
    <row r="66" spans="1:27" x14ac:dyDescent="0.25">
      <c r="A66">
        <v>62</v>
      </c>
      <c r="B66" s="19" t="s">
        <v>253</v>
      </c>
      <c r="C66" s="19" t="s">
        <v>254</v>
      </c>
      <c r="D66" s="19" t="s">
        <v>261</v>
      </c>
      <c r="E66" s="19" t="s">
        <v>262</v>
      </c>
      <c r="F66" s="19" t="s">
        <v>370</v>
      </c>
      <c r="G66" s="12">
        <v>43130</v>
      </c>
      <c r="H66" s="12">
        <v>43154</v>
      </c>
      <c r="I66">
        <v>24</v>
      </c>
      <c r="J66" s="12">
        <v>43137</v>
      </c>
      <c r="K66" t="b">
        <v>1</v>
      </c>
      <c r="L66" s="12">
        <v>43132</v>
      </c>
      <c r="M66" t="b">
        <v>0</v>
      </c>
      <c r="N66">
        <v>1</v>
      </c>
      <c r="O66">
        <v>1</v>
      </c>
      <c r="P66" s="19" t="s">
        <v>371</v>
      </c>
      <c r="Q66" s="19" t="s">
        <v>259</v>
      </c>
      <c r="R66" s="19" t="s">
        <v>121</v>
      </c>
      <c r="S66" s="19" t="s">
        <v>160</v>
      </c>
      <c r="T66" s="16">
        <v>69</v>
      </c>
      <c r="U66" s="16">
        <v>21.28</v>
      </c>
      <c r="V66" s="16">
        <v>90.28</v>
      </c>
      <c r="W66" s="19" t="s">
        <v>953</v>
      </c>
      <c r="X66" s="19" t="s">
        <v>265</v>
      </c>
      <c r="Y66" s="12">
        <v>43177</v>
      </c>
      <c r="Z66" s="12">
        <v>43171</v>
      </c>
      <c r="AA66" s="12">
        <v>43177</v>
      </c>
    </row>
    <row r="67" spans="1:27" x14ac:dyDescent="0.25">
      <c r="A67">
        <v>63</v>
      </c>
      <c r="B67" s="19" t="s">
        <v>253</v>
      </c>
      <c r="C67" s="19" t="s">
        <v>254</v>
      </c>
      <c r="D67" s="19" t="s">
        <v>261</v>
      </c>
      <c r="E67" s="19" t="s">
        <v>262</v>
      </c>
      <c r="F67" s="19" t="s">
        <v>372</v>
      </c>
      <c r="G67" s="12">
        <v>43132</v>
      </c>
      <c r="H67" s="12">
        <v>43154</v>
      </c>
      <c r="I67">
        <v>24</v>
      </c>
      <c r="J67" s="12">
        <v>43139</v>
      </c>
      <c r="K67" t="b">
        <v>1</v>
      </c>
      <c r="L67" s="12">
        <v>43136</v>
      </c>
      <c r="M67" t="b">
        <v>0</v>
      </c>
      <c r="N67">
        <v>1</v>
      </c>
      <c r="O67">
        <v>1</v>
      </c>
      <c r="P67" s="19" t="s">
        <v>373</v>
      </c>
      <c r="Q67" s="19" t="s">
        <v>259</v>
      </c>
      <c r="R67" s="19" t="s">
        <v>121</v>
      </c>
      <c r="S67" s="19" t="s">
        <v>121</v>
      </c>
      <c r="T67" s="16">
        <v>149.9</v>
      </c>
      <c r="U67" s="16">
        <v>17.760000000000002</v>
      </c>
      <c r="V67" s="16">
        <v>167.66</v>
      </c>
      <c r="W67" s="19" t="s">
        <v>954</v>
      </c>
      <c r="X67" s="19" t="s">
        <v>265</v>
      </c>
      <c r="Y67" s="12">
        <v>43177</v>
      </c>
      <c r="Z67" s="12">
        <v>43171</v>
      </c>
      <c r="AA67" s="12">
        <v>43177</v>
      </c>
    </row>
    <row r="68" spans="1:27" x14ac:dyDescent="0.25">
      <c r="A68">
        <v>64</v>
      </c>
      <c r="B68" s="19" t="s">
        <v>253</v>
      </c>
      <c r="C68" s="19" t="s">
        <v>254</v>
      </c>
      <c r="D68" s="19" t="s">
        <v>261</v>
      </c>
      <c r="E68" s="19" t="s">
        <v>262</v>
      </c>
      <c r="F68" s="19" t="s">
        <v>374</v>
      </c>
      <c r="G68" s="12">
        <v>43132</v>
      </c>
      <c r="H68" s="12">
        <v>43154</v>
      </c>
      <c r="I68">
        <v>24</v>
      </c>
      <c r="J68" s="12">
        <v>43139</v>
      </c>
      <c r="K68" t="b">
        <v>1</v>
      </c>
      <c r="L68" s="12">
        <v>43134</v>
      </c>
      <c r="M68" t="b">
        <v>0</v>
      </c>
      <c r="N68">
        <v>1</v>
      </c>
      <c r="O68">
        <v>1</v>
      </c>
      <c r="P68" s="19" t="s">
        <v>352</v>
      </c>
      <c r="Q68" s="19" t="s">
        <v>259</v>
      </c>
      <c r="R68" s="19" t="s">
        <v>121</v>
      </c>
      <c r="S68" s="19" t="s">
        <v>122</v>
      </c>
      <c r="T68" s="16">
        <v>119.9</v>
      </c>
      <c r="U68" s="16">
        <v>14.59</v>
      </c>
      <c r="V68" s="16">
        <v>134.49</v>
      </c>
      <c r="W68" s="19" t="s">
        <v>955</v>
      </c>
      <c r="X68" s="19" t="s">
        <v>265</v>
      </c>
      <c r="Y68" s="12">
        <v>43177</v>
      </c>
      <c r="Z68" s="12">
        <v>43171</v>
      </c>
      <c r="AA68" s="12">
        <v>43177</v>
      </c>
    </row>
    <row r="69" spans="1:27" x14ac:dyDescent="0.25">
      <c r="A69">
        <v>65</v>
      </c>
      <c r="B69" s="19" t="s">
        <v>253</v>
      </c>
      <c r="C69" s="19" t="s">
        <v>254</v>
      </c>
      <c r="D69" s="19" t="s">
        <v>255</v>
      </c>
      <c r="E69" s="19" t="s">
        <v>256</v>
      </c>
      <c r="F69" s="19" t="s">
        <v>375</v>
      </c>
      <c r="G69" s="12">
        <v>43140</v>
      </c>
      <c r="H69" s="12">
        <v>43154</v>
      </c>
      <c r="I69">
        <v>24</v>
      </c>
      <c r="J69" s="12">
        <v>43146</v>
      </c>
      <c r="K69" t="b">
        <v>1</v>
      </c>
      <c r="L69" s="12"/>
      <c r="M69" t="b">
        <v>0</v>
      </c>
      <c r="N69">
        <v>1</v>
      </c>
      <c r="O69">
        <v>1</v>
      </c>
      <c r="P69" s="19" t="s">
        <v>376</v>
      </c>
      <c r="Q69" s="19" t="s">
        <v>259</v>
      </c>
      <c r="R69" s="19" t="s">
        <v>121</v>
      </c>
      <c r="S69" s="19" t="s">
        <v>121</v>
      </c>
      <c r="T69" s="16">
        <v>17</v>
      </c>
      <c r="U69" s="16">
        <v>7.78</v>
      </c>
      <c r="V69" s="16">
        <v>24.78</v>
      </c>
      <c r="W69" s="19" t="s">
        <v>956</v>
      </c>
      <c r="X69" s="19" t="s">
        <v>260</v>
      </c>
      <c r="Y69" s="12">
        <v>43177</v>
      </c>
      <c r="Z69" s="12">
        <v>43171</v>
      </c>
      <c r="AA69" s="12">
        <v>43177</v>
      </c>
    </row>
    <row r="70" spans="1:27" x14ac:dyDescent="0.25">
      <c r="A70">
        <v>66</v>
      </c>
      <c r="B70" s="19" t="s">
        <v>253</v>
      </c>
      <c r="C70" s="19" t="s">
        <v>254</v>
      </c>
      <c r="D70" s="19" t="s">
        <v>255</v>
      </c>
      <c r="E70" s="19" t="s">
        <v>256</v>
      </c>
      <c r="F70" s="19" t="s">
        <v>377</v>
      </c>
      <c r="G70" s="12">
        <v>43138</v>
      </c>
      <c r="H70" s="12">
        <v>43154</v>
      </c>
      <c r="I70">
        <v>24</v>
      </c>
      <c r="J70" s="12"/>
      <c r="K70" t="b">
        <v>1</v>
      </c>
      <c r="L70" s="12"/>
      <c r="M70" t="b">
        <v>0</v>
      </c>
      <c r="N70">
        <v>0</v>
      </c>
      <c r="O70">
        <v>0</v>
      </c>
      <c r="P70" s="19" t="s">
        <v>172</v>
      </c>
      <c r="Q70" s="19" t="s">
        <v>285</v>
      </c>
      <c r="R70" s="19" t="s">
        <v>172</v>
      </c>
      <c r="S70" s="19" t="s">
        <v>121</v>
      </c>
      <c r="T70" s="16">
        <v>0</v>
      </c>
      <c r="U70" s="16">
        <v>0</v>
      </c>
      <c r="V70" s="16">
        <v>87.82</v>
      </c>
      <c r="W70" s="19" t="s">
        <v>172</v>
      </c>
      <c r="X70" s="19" t="s">
        <v>260</v>
      </c>
      <c r="Y70" s="12">
        <v>43177</v>
      </c>
      <c r="Z70" s="12">
        <v>43171</v>
      </c>
      <c r="AA70" s="12">
        <v>43177</v>
      </c>
    </row>
    <row r="71" spans="1:27" x14ac:dyDescent="0.25">
      <c r="A71">
        <v>67</v>
      </c>
      <c r="B71" s="19" t="s">
        <v>253</v>
      </c>
      <c r="C71" s="19" t="s">
        <v>254</v>
      </c>
      <c r="D71" s="19" t="s">
        <v>255</v>
      </c>
      <c r="E71" s="19" t="s">
        <v>256</v>
      </c>
      <c r="F71" s="19" t="s">
        <v>378</v>
      </c>
      <c r="G71" s="12">
        <v>43140</v>
      </c>
      <c r="H71" s="12">
        <v>43154</v>
      </c>
      <c r="I71">
        <v>24</v>
      </c>
      <c r="J71" s="12"/>
      <c r="K71" t="b">
        <v>1</v>
      </c>
      <c r="L71" s="12"/>
      <c r="M71" t="b">
        <v>0</v>
      </c>
      <c r="N71">
        <v>0</v>
      </c>
      <c r="O71">
        <v>0</v>
      </c>
      <c r="P71" s="19" t="s">
        <v>172</v>
      </c>
      <c r="Q71" s="19" t="s">
        <v>285</v>
      </c>
      <c r="R71" s="19" t="s">
        <v>172</v>
      </c>
      <c r="S71" s="19" t="s">
        <v>121</v>
      </c>
      <c r="T71" s="16">
        <v>0</v>
      </c>
      <c r="U71" s="16">
        <v>0</v>
      </c>
      <c r="V71" s="16">
        <v>82.78</v>
      </c>
      <c r="W71" s="19" t="s">
        <v>172</v>
      </c>
      <c r="X71" s="19" t="s">
        <v>260</v>
      </c>
      <c r="Y71" s="12">
        <v>43177</v>
      </c>
      <c r="Z71" s="12">
        <v>43171</v>
      </c>
      <c r="AA71" s="12">
        <v>43177</v>
      </c>
    </row>
    <row r="72" spans="1:27" x14ac:dyDescent="0.25">
      <c r="A72">
        <v>68</v>
      </c>
      <c r="B72" s="19" t="s">
        <v>253</v>
      </c>
      <c r="C72" s="19" t="s">
        <v>254</v>
      </c>
      <c r="D72" s="19" t="s">
        <v>261</v>
      </c>
      <c r="E72" s="19" t="s">
        <v>262</v>
      </c>
      <c r="F72" s="19" t="s">
        <v>379</v>
      </c>
      <c r="G72" s="12">
        <v>43128</v>
      </c>
      <c r="H72" s="12">
        <v>43157</v>
      </c>
      <c r="I72">
        <v>21</v>
      </c>
      <c r="J72" s="12">
        <v>43132</v>
      </c>
      <c r="K72" t="b">
        <v>1</v>
      </c>
      <c r="L72" s="12">
        <v>43129</v>
      </c>
      <c r="M72" t="b">
        <v>0</v>
      </c>
      <c r="N72">
        <v>1</v>
      </c>
      <c r="O72">
        <v>1</v>
      </c>
      <c r="P72" s="19" t="s">
        <v>292</v>
      </c>
      <c r="Q72" s="19" t="s">
        <v>259</v>
      </c>
      <c r="R72" s="19" t="s">
        <v>131</v>
      </c>
      <c r="S72" s="19" t="s">
        <v>127</v>
      </c>
      <c r="T72" s="16">
        <v>120</v>
      </c>
      <c r="U72" s="16">
        <v>50.71</v>
      </c>
      <c r="V72" s="16">
        <v>170.71</v>
      </c>
      <c r="W72" s="19" t="s">
        <v>957</v>
      </c>
      <c r="X72" s="19" t="s">
        <v>265</v>
      </c>
      <c r="Y72" s="12">
        <v>43177</v>
      </c>
      <c r="Z72" s="12">
        <v>43171</v>
      </c>
      <c r="AA72" s="12">
        <v>43177</v>
      </c>
    </row>
    <row r="73" spans="1:27" x14ac:dyDescent="0.25">
      <c r="A73">
        <v>69</v>
      </c>
      <c r="B73" s="19" t="s">
        <v>253</v>
      </c>
      <c r="C73" s="19" t="s">
        <v>254</v>
      </c>
      <c r="D73" s="19" t="s">
        <v>255</v>
      </c>
      <c r="E73" s="19" t="s">
        <v>256</v>
      </c>
      <c r="F73" s="19" t="s">
        <v>380</v>
      </c>
      <c r="G73" s="12">
        <v>43127</v>
      </c>
      <c r="H73" s="12">
        <v>43157</v>
      </c>
      <c r="I73">
        <v>21</v>
      </c>
      <c r="J73" s="12">
        <v>43132</v>
      </c>
      <c r="K73" t="b">
        <v>1</v>
      </c>
      <c r="L73" s="12"/>
      <c r="M73" t="b">
        <v>0</v>
      </c>
      <c r="N73">
        <v>1</v>
      </c>
      <c r="O73">
        <v>1</v>
      </c>
      <c r="P73" s="19" t="s">
        <v>306</v>
      </c>
      <c r="Q73" s="19" t="s">
        <v>259</v>
      </c>
      <c r="R73" s="19" t="s">
        <v>131</v>
      </c>
      <c r="S73" s="19" t="s">
        <v>129</v>
      </c>
      <c r="T73" s="16">
        <v>99.9</v>
      </c>
      <c r="U73" s="16">
        <v>17.14</v>
      </c>
      <c r="V73" s="16">
        <v>117.04</v>
      </c>
      <c r="W73" s="19" t="s">
        <v>958</v>
      </c>
      <c r="X73" s="19" t="s">
        <v>260</v>
      </c>
      <c r="Y73" s="12">
        <v>43177</v>
      </c>
      <c r="Z73" s="12">
        <v>43171</v>
      </c>
      <c r="AA73" s="12">
        <v>43177</v>
      </c>
    </row>
    <row r="74" spans="1:27" x14ac:dyDescent="0.25">
      <c r="A74">
        <v>70</v>
      </c>
      <c r="B74" s="19" t="s">
        <v>253</v>
      </c>
      <c r="C74" s="19" t="s">
        <v>254</v>
      </c>
      <c r="D74" s="19" t="s">
        <v>261</v>
      </c>
      <c r="E74" s="19" t="s">
        <v>262</v>
      </c>
      <c r="F74" s="19" t="s">
        <v>381</v>
      </c>
      <c r="G74" s="12">
        <v>43129</v>
      </c>
      <c r="H74" s="12">
        <v>43157</v>
      </c>
      <c r="I74">
        <v>21</v>
      </c>
      <c r="J74" s="12">
        <v>43133</v>
      </c>
      <c r="K74" t="b">
        <v>1</v>
      </c>
      <c r="L74" s="12">
        <v>43130</v>
      </c>
      <c r="M74" t="b">
        <v>0</v>
      </c>
      <c r="N74">
        <v>1</v>
      </c>
      <c r="O74">
        <v>1</v>
      </c>
      <c r="P74" s="19" t="s">
        <v>382</v>
      </c>
      <c r="Q74" s="19" t="s">
        <v>259</v>
      </c>
      <c r="R74" s="19" t="s">
        <v>129</v>
      </c>
      <c r="S74" s="19" t="s">
        <v>122</v>
      </c>
      <c r="T74" s="16">
        <v>339</v>
      </c>
      <c r="U74" s="16">
        <v>27.65</v>
      </c>
      <c r="V74" s="16">
        <v>366.65</v>
      </c>
      <c r="W74" s="19" t="s">
        <v>959</v>
      </c>
      <c r="X74" s="19" t="s">
        <v>265</v>
      </c>
      <c r="Y74" s="12">
        <v>43177</v>
      </c>
      <c r="Z74" s="12">
        <v>43171</v>
      </c>
      <c r="AA74" s="12">
        <v>43177</v>
      </c>
    </row>
    <row r="75" spans="1:27" x14ac:dyDescent="0.25">
      <c r="A75">
        <v>71</v>
      </c>
      <c r="B75" s="19" t="s">
        <v>253</v>
      </c>
      <c r="C75" s="19" t="s">
        <v>254</v>
      </c>
      <c r="D75" s="19" t="s">
        <v>261</v>
      </c>
      <c r="E75" s="19" t="s">
        <v>262</v>
      </c>
      <c r="F75" s="19" t="s">
        <v>383</v>
      </c>
      <c r="G75" s="12">
        <v>43130</v>
      </c>
      <c r="H75" s="12">
        <v>43157</v>
      </c>
      <c r="I75">
        <v>21</v>
      </c>
      <c r="J75" s="12">
        <v>43136</v>
      </c>
      <c r="K75" t="b">
        <v>1</v>
      </c>
      <c r="L75" s="12">
        <v>43145</v>
      </c>
      <c r="M75" t="b">
        <v>0</v>
      </c>
      <c r="N75">
        <v>1</v>
      </c>
      <c r="O75">
        <v>1</v>
      </c>
      <c r="P75" s="19" t="s">
        <v>384</v>
      </c>
      <c r="Q75" s="19" t="s">
        <v>259</v>
      </c>
      <c r="R75" s="19" t="s">
        <v>121</v>
      </c>
      <c r="S75" s="19" t="s">
        <v>122</v>
      </c>
      <c r="T75" s="16">
        <v>98.62</v>
      </c>
      <c r="U75" s="16">
        <v>21.18</v>
      </c>
      <c r="V75" s="16">
        <v>119.8</v>
      </c>
      <c r="W75" s="19" t="s">
        <v>960</v>
      </c>
      <c r="X75" s="19" t="s">
        <v>265</v>
      </c>
      <c r="Y75" s="12">
        <v>43177</v>
      </c>
      <c r="Z75" s="12">
        <v>43171</v>
      </c>
      <c r="AA75" s="12">
        <v>43177</v>
      </c>
    </row>
    <row r="76" spans="1:27" x14ac:dyDescent="0.25">
      <c r="A76">
        <v>72</v>
      </c>
      <c r="B76" s="19" t="s">
        <v>253</v>
      </c>
      <c r="C76" s="19" t="s">
        <v>254</v>
      </c>
      <c r="D76" s="19" t="s">
        <v>261</v>
      </c>
      <c r="E76" s="19" t="s">
        <v>262</v>
      </c>
      <c r="F76" s="19" t="s">
        <v>385</v>
      </c>
      <c r="G76" s="12">
        <v>43132</v>
      </c>
      <c r="H76" s="12">
        <v>43157</v>
      </c>
      <c r="I76">
        <v>21</v>
      </c>
      <c r="J76" s="12">
        <v>43139</v>
      </c>
      <c r="K76" t="b">
        <v>1</v>
      </c>
      <c r="L76" s="12">
        <v>43137</v>
      </c>
      <c r="M76" t="b">
        <v>0</v>
      </c>
      <c r="N76">
        <v>1</v>
      </c>
      <c r="O76">
        <v>1</v>
      </c>
      <c r="P76" s="19" t="s">
        <v>386</v>
      </c>
      <c r="Q76" s="19" t="s">
        <v>259</v>
      </c>
      <c r="R76" s="19" t="s">
        <v>121</v>
      </c>
      <c r="S76" s="19" t="s">
        <v>122</v>
      </c>
      <c r="T76" s="16">
        <v>94.95</v>
      </c>
      <c r="U76" s="16">
        <v>16.420000000000002</v>
      </c>
      <c r="V76" s="16">
        <v>111.37</v>
      </c>
      <c r="W76" s="19" t="s">
        <v>961</v>
      </c>
      <c r="X76" s="19" t="s">
        <v>265</v>
      </c>
      <c r="Y76" s="12">
        <v>43177</v>
      </c>
      <c r="Z76" s="12">
        <v>43171</v>
      </c>
      <c r="AA76" s="12">
        <v>43177</v>
      </c>
    </row>
    <row r="77" spans="1:27" x14ac:dyDescent="0.25">
      <c r="A77">
        <v>73</v>
      </c>
      <c r="B77" s="19" t="s">
        <v>253</v>
      </c>
      <c r="C77" s="19" t="s">
        <v>254</v>
      </c>
      <c r="D77" s="19" t="s">
        <v>255</v>
      </c>
      <c r="E77" s="19" t="s">
        <v>256</v>
      </c>
      <c r="F77" s="19" t="s">
        <v>387</v>
      </c>
      <c r="G77" s="12">
        <v>43141</v>
      </c>
      <c r="H77" s="12">
        <v>43157</v>
      </c>
      <c r="I77">
        <v>21</v>
      </c>
      <c r="J77" s="12">
        <v>43146</v>
      </c>
      <c r="K77" t="b">
        <v>1</v>
      </c>
      <c r="L77" s="12"/>
      <c r="M77" t="b">
        <v>0</v>
      </c>
      <c r="N77">
        <v>1</v>
      </c>
      <c r="O77">
        <v>1</v>
      </c>
      <c r="P77" s="19" t="s">
        <v>388</v>
      </c>
      <c r="Q77" s="19" t="s">
        <v>259</v>
      </c>
      <c r="R77" s="19" t="s">
        <v>121</v>
      </c>
      <c r="S77" s="19" t="s">
        <v>121</v>
      </c>
      <c r="T77" s="16">
        <v>549.99</v>
      </c>
      <c r="U77" s="16">
        <v>12.04</v>
      </c>
      <c r="V77" s="16">
        <v>562.03</v>
      </c>
      <c r="W77" s="19" t="s">
        <v>962</v>
      </c>
      <c r="X77" s="19" t="s">
        <v>260</v>
      </c>
      <c r="Y77" s="12">
        <v>43177</v>
      </c>
      <c r="Z77" s="12">
        <v>43171</v>
      </c>
      <c r="AA77" s="12">
        <v>43177</v>
      </c>
    </row>
    <row r="78" spans="1:27" x14ac:dyDescent="0.25">
      <c r="A78">
        <v>74</v>
      </c>
      <c r="B78" s="19" t="s">
        <v>253</v>
      </c>
      <c r="C78" s="19" t="s">
        <v>254</v>
      </c>
      <c r="D78" s="19" t="s">
        <v>261</v>
      </c>
      <c r="E78" s="19" t="s">
        <v>262</v>
      </c>
      <c r="F78" s="19" t="s">
        <v>389</v>
      </c>
      <c r="G78" s="12">
        <v>43141</v>
      </c>
      <c r="H78" s="12">
        <v>43157</v>
      </c>
      <c r="I78">
        <v>21</v>
      </c>
      <c r="J78" s="12">
        <v>43146</v>
      </c>
      <c r="K78" t="b">
        <v>1</v>
      </c>
      <c r="L78" s="12">
        <v>43146</v>
      </c>
      <c r="M78" t="b">
        <v>0</v>
      </c>
      <c r="N78">
        <v>1</v>
      </c>
      <c r="O78">
        <v>1</v>
      </c>
      <c r="P78" s="19" t="s">
        <v>371</v>
      </c>
      <c r="Q78" s="19" t="s">
        <v>259</v>
      </c>
      <c r="R78" s="19" t="s">
        <v>121</v>
      </c>
      <c r="S78" s="19" t="s">
        <v>121</v>
      </c>
      <c r="T78" s="16">
        <v>119</v>
      </c>
      <c r="U78" s="16">
        <v>8.09</v>
      </c>
      <c r="V78" s="16">
        <v>127.09</v>
      </c>
      <c r="W78" s="19" t="s">
        <v>963</v>
      </c>
      <c r="X78" s="19" t="s">
        <v>265</v>
      </c>
      <c r="Y78" s="12">
        <v>43177</v>
      </c>
      <c r="Z78" s="12">
        <v>43171</v>
      </c>
      <c r="AA78" s="12">
        <v>43177</v>
      </c>
    </row>
    <row r="79" spans="1:27" x14ac:dyDescent="0.25">
      <c r="A79">
        <v>75</v>
      </c>
      <c r="B79" s="19" t="s">
        <v>253</v>
      </c>
      <c r="C79" s="19" t="s">
        <v>254</v>
      </c>
      <c r="D79" s="19" t="s">
        <v>255</v>
      </c>
      <c r="E79" s="19" t="s">
        <v>256</v>
      </c>
      <c r="F79" s="19" t="s">
        <v>390</v>
      </c>
      <c r="G79" s="12">
        <v>43143</v>
      </c>
      <c r="H79" s="12">
        <v>43157</v>
      </c>
      <c r="I79">
        <v>21</v>
      </c>
      <c r="J79" s="12"/>
      <c r="K79" t="b">
        <v>1</v>
      </c>
      <c r="L79" s="12"/>
      <c r="M79" t="b">
        <v>0</v>
      </c>
      <c r="N79">
        <v>0</v>
      </c>
      <c r="O79">
        <v>0</v>
      </c>
      <c r="P79" s="19" t="s">
        <v>172</v>
      </c>
      <c r="Q79" s="19" t="s">
        <v>285</v>
      </c>
      <c r="R79" s="19" t="s">
        <v>172</v>
      </c>
      <c r="S79" s="19" t="s">
        <v>121</v>
      </c>
      <c r="T79" s="16">
        <v>0</v>
      </c>
      <c r="U79" s="16">
        <v>0</v>
      </c>
      <c r="V79" s="16">
        <v>37.68</v>
      </c>
      <c r="W79" s="19" t="s">
        <v>172</v>
      </c>
      <c r="X79" s="19" t="s">
        <v>260</v>
      </c>
      <c r="Y79" s="12">
        <v>43177</v>
      </c>
      <c r="Z79" s="12">
        <v>43171</v>
      </c>
      <c r="AA79" s="12">
        <v>43177</v>
      </c>
    </row>
    <row r="80" spans="1:27" x14ac:dyDescent="0.25">
      <c r="A80">
        <v>76</v>
      </c>
      <c r="B80" s="19" t="s">
        <v>253</v>
      </c>
      <c r="C80" s="19" t="s">
        <v>254</v>
      </c>
      <c r="D80" s="19" t="s">
        <v>255</v>
      </c>
      <c r="E80" s="19" t="s">
        <v>256</v>
      </c>
      <c r="F80" s="19" t="s">
        <v>391</v>
      </c>
      <c r="G80" s="12">
        <v>43141</v>
      </c>
      <c r="H80" s="12">
        <v>43157</v>
      </c>
      <c r="I80">
        <v>21</v>
      </c>
      <c r="J80" s="12"/>
      <c r="K80" t="b">
        <v>1</v>
      </c>
      <c r="L80" s="12"/>
      <c r="M80" t="b">
        <v>0</v>
      </c>
      <c r="N80">
        <v>0</v>
      </c>
      <c r="O80">
        <v>0</v>
      </c>
      <c r="P80" s="19" t="s">
        <v>172</v>
      </c>
      <c r="Q80" s="19" t="s">
        <v>285</v>
      </c>
      <c r="R80" s="19" t="s">
        <v>172</v>
      </c>
      <c r="S80" s="19" t="s">
        <v>121</v>
      </c>
      <c r="T80" s="16">
        <v>0</v>
      </c>
      <c r="U80" s="16">
        <v>0</v>
      </c>
      <c r="V80" s="16">
        <v>91.66</v>
      </c>
      <c r="W80" s="19" t="s">
        <v>172</v>
      </c>
      <c r="X80" s="19" t="s">
        <v>260</v>
      </c>
      <c r="Y80" s="12">
        <v>43177</v>
      </c>
      <c r="Z80" s="12">
        <v>43171</v>
      </c>
      <c r="AA80" s="12">
        <v>43177</v>
      </c>
    </row>
    <row r="81" spans="1:27" x14ac:dyDescent="0.25">
      <c r="A81">
        <v>77</v>
      </c>
      <c r="B81" s="19" t="s">
        <v>253</v>
      </c>
      <c r="C81" s="19" t="s">
        <v>254</v>
      </c>
      <c r="D81" s="19" t="s">
        <v>255</v>
      </c>
      <c r="E81" s="19" t="s">
        <v>256</v>
      </c>
      <c r="F81" s="19" t="s">
        <v>392</v>
      </c>
      <c r="G81" s="12">
        <v>43141</v>
      </c>
      <c r="H81" s="12">
        <v>43157</v>
      </c>
      <c r="I81">
        <v>21</v>
      </c>
      <c r="J81" s="12"/>
      <c r="K81" t="b">
        <v>1</v>
      </c>
      <c r="L81" s="12"/>
      <c r="M81" t="b">
        <v>0</v>
      </c>
      <c r="N81">
        <v>0</v>
      </c>
      <c r="O81">
        <v>0</v>
      </c>
      <c r="P81" s="19" t="s">
        <v>172</v>
      </c>
      <c r="Q81" s="19" t="s">
        <v>285</v>
      </c>
      <c r="R81" s="19" t="s">
        <v>172</v>
      </c>
      <c r="S81" s="19" t="s">
        <v>121</v>
      </c>
      <c r="T81" s="16">
        <v>0</v>
      </c>
      <c r="U81" s="16">
        <v>0</v>
      </c>
      <c r="V81" s="16">
        <v>56.78</v>
      </c>
      <c r="W81" s="19" t="s">
        <v>172</v>
      </c>
      <c r="X81" s="19" t="s">
        <v>260</v>
      </c>
      <c r="Y81" s="12">
        <v>43177</v>
      </c>
      <c r="Z81" s="12">
        <v>43171</v>
      </c>
      <c r="AA81" s="12">
        <v>43177</v>
      </c>
    </row>
    <row r="82" spans="1:27" x14ac:dyDescent="0.25">
      <c r="A82">
        <v>78</v>
      </c>
      <c r="B82" s="19" t="s">
        <v>253</v>
      </c>
      <c r="C82" s="19" t="s">
        <v>254</v>
      </c>
      <c r="D82" s="19" t="s">
        <v>261</v>
      </c>
      <c r="E82" s="19" t="s">
        <v>262</v>
      </c>
      <c r="F82" s="19" t="s">
        <v>393</v>
      </c>
      <c r="G82" s="12">
        <v>43124</v>
      </c>
      <c r="H82" s="12">
        <v>43160</v>
      </c>
      <c r="I82">
        <v>18</v>
      </c>
      <c r="J82" s="12">
        <v>43130</v>
      </c>
      <c r="K82" t="b">
        <v>1</v>
      </c>
      <c r="L82" s="12">
        <v>43125</v>
      </c>
      <c r="M82" t="b">
        <v>0</v>
      </c>
      <c r="N82">
        <v>2</v>
      </c>
      <c r="O82">
        <v>1</v>
      </c>
      <c r="P82" s="19" t="s">
        <v>394</v>
      </c>
      <c r="Q82" s="19" t="s">
        <v>259</v>
      </c>
      <c r="R82" s="19" t="s">
        <v>121</v>
      </c>
      <c r="S82" s="19" t="s">
        <v>152</v>
      </c>
      <c r="T82" s="16">
        <v>220</v>
      </c>
      <c r="U82" s="16">
        <v>58.34</v>
      </c>
      <c r="V82" s="16">
        <v>278.33999999999997</v>
      </c>
      <c r="W82" s="19" t="s">
        <v>964</v>
      </c>
      <c r="X82" s="19" t="s">
        <v>265</v>
      </c>
      <c r="Y82" s="12">
        <v>43177</v>
      </c>
      <c r="Z82" s="12">
        <v>43171</v>
      </c>
      <c r="AA82" s="12">
        <v>43177</v>
      </c>
    </row>
    <row r="83" spans="1:27" x14ac:dyDescent="0.25">
      <c r="A83">
        <v>79</v>
      </c>
      <c r="B83" s="19" t="s">
        <v>253</v>
      </c>
      <c r="C83" s="19" t="s">
        <v>254</v>
      </c>
      <c r="D83" s="19" t="s">
        <v>261</v>
      </c>
      <c r="E83" s="19" t="s">
        <v>262</v>
      </c>
      <c r="F83" s="19" t="s">
        <v>395</v>
      </c>
      <c r="G83" s="12">
        <v>43124</v>
      </c>
      <c r="H83" s="12">
        <v>43160</v>
      </c>
      <c r="I83">
        <v>18</v>
      </c>
      <c r="J83" s="12">
        <v>43130</v>
      </c>
      <c r="K83" t="b">
        <v>1</v>
      </c>
      <c r="L83" s="12">
        <v>43126</v>
      </c>
      <c r="M83" t="b">
        <v>0</v>
      </c>
      <c r="N83">
        <v>1</v>
      </c>
      <c r="O83">
        <v>1</v>
      </c>
      <c r="P83" s="19" t="s">
        <v>396</v>
      </c>
      <c r="Q83" s="19" t="s">
        <v>259</v>
      </c>
      <c r="R83" s="19" t="s">
        <v>131</v>
      </c>
      <c r="S83" s="19" t="s">
        <v>152</v>
      </c>
      <c r="T83" s="16">
        <v>99.9</v>
      </c>
      <c r="U83" s="16">
        <v>38.25</v>
      </c>
      <c r="V83" s="16">
        <v>138.15</v>
      </c>
      <c r="W83" s="19" t="s">
        <v>965</v>
      </c>
      <c r="X83" s="19" t="s">
        <v>265</v>
      </c>
      <c r="Y83" s="12">
        <v>43177</v>
      </c>
      <c r="Z83" s="12">
        <v>43171</v>
      </c>
      <c r="AA83" s="12">
        <v>43177</v>
      </c>
    </row>
    <row r="84" spans="1:27" x14ac:dyDescent="0.25">
      <c r="A84">
        <v>80</v>
      </c>
      <c r="B84" s="19" t="s">
        <v>253</v>
      </c>
      <c r="C84" s="19" t="s">
        <v>254</v>
      </c>
      <c r="D84" s="19" t="s">
        <v>261</v>
      </c>
      <c r="E84" s="19" t="s">
        <v>262</v>
      </c>
      <c r="F84" s="19" t="s">
        <v>397</v>
      </c>
      <c r="G84" s="12">
        <v>43125</v>
      </c>
      <c r="H84" s="12">
        <v>43160</v>
      </c>
      <c r="I84">
        <v>18</v>
      </c>
      <c r="J84" s="12">
        <v>43131</v>
      </c>
      <c r="K84" t="b">
        <v>1</v>
      </c>
      <c r="L84" s="12">
        <v>43126</v>
      </c>
      <c r="M84" t="b">
        <v>0</v>
      </c>
      <c r="N84">
        <v>1</v>
      </c>
      <c r="O84">
        <v>1</v>
      </c>
      <c r="P84" s="19" t="s">
        <v>398</v>
      </c>
      <c r="Q84" s="19" t="s">
        <v>259</v>
      </c>
      <c r="R84" s="19" t="s">
        <v>121</v>
      </c>
      <c r="S84" s="19" t="s">
        <v>184</v>
      </c>
      <c r="T84" s="16">
        <v>526</v>
      </c>
      <c r="U84" s="16">
        <v>28.96</v>
      </c>
      <c r="V84" s="16">
        <v>554.96</v>
      </c>
      <c r="W84" s="19" t="s">
        <v>965</v>
      </c>
      <c r="X84" s="19" t="s">
        <v>265</v>
      </c>
      <c r="Y84" s="12">
        <v>43177</v>
      </c>
      <c r="Z84" s="12">
        <v>43171</v>
      </c>
      <c r="AA84" s="12">
        <v>43177</v>
      </c>
    </row>
    <row r="85" spans="1:27" x14ac:dyDescent="0.25">
      <c r="A85">
        <v>81</v>
      </c>
      <c r="B85" s="19" t="s">
        <v>253</v>
      </c>
      <c r="C85" s="19" t="s">
        <v>254</v>
      </c>
      <c r="D85" s="19" t="s">
        <v>261</v>
      </c>
      <c r="E85" s="19" t="s">
        <v>262</v>
      </c>
      <c r="F85" s="19" t="s">
        <v>399</v>
      </c>
      <c r="G85" s="12">
        <v>43130</v>
      </c>
      <c r="H85" s="12">
        <v>43160</v>
      </c>
      <c r="I85">
        <v>18</v>
      </c>
      <c r="J85" s="12">
        <v>43136</v>
      </c>
      <c r="K85" t="b">
        <v>1</v>
      </c>
      <c r="L85" s="12">
        <v>43132</v>
      </c>
      <c r="M85" t="b">
        <v>0</v>
      </c>
      <c r="N85">
        <v>1</v>
      </c>
      <c r="O85">
        <v>1</v>
      </c>
      <c r="P85" s="19" t="s">
        <v>400</v>
      </c>
      <c r="Q85" s="19" t="s">
        <v>259</v>
      </c>
      <c r="R85" s="19" t="s">
        <v>121</v>
      </c>
      <c r="S85" s="19" t="s">
        <v>125</v>
      </c>
      <c r="T85" s="16">
        <v>59.9</v>
      </c>
      <c r="U85" s="16">
        <v>15.17</v>
      </c>
      <c r="V85" s="16">
        <v>75.069999999999993</v>
      </c>
      <c r="W85" s="19" t="s">
        <v>966</v>
      </c>
      <c r="X85" s="19" t="s">
        <v>265</v>
      </c>
      <c r="Y85" s="12">
        <v>43177</v>
      </c>
      <c r="Z85" s="12">
        <v>43171</v>
      </c>
      <c r="AA85" s="12">
        <v>43177</v>
      </c>
    </row>
    <row r="86" spans="1:27" x14ac:dyDescent="0.25">
      <c r="A86">
        <v>82</v>
      </c>
      <c r="B86" s="19" t="s">
        <v>253</v>
      </c>
      <c r="C86" s="19" t="s">
        <v>254</v>
      </c>
      <c r="D86" s="19" t="s">
        <v>261</v>
      </c>
      <c r="E86" s="19" t="s">
        <v>262</v>
      </c>
      <c r="F86" s="19" t="s">
        <v>401</v>
      </c>
      <c r="G86" s="12">
        <v>43128</v>
      </c>
      <c r="H86" s="12">
        <v>43160</v>
      </c>
      <c r="I86">
        <v>18</v>
      </c>
      <c r="J86" s="12">
        <v>43136</v>
      </c>
      <c r="K86" t="b">
        <v>1</v>
      </c>
      <c r="L86" s="12">
        <v>43130</v>
      </c>
      <c r="M86" t="b">
        <v>0</v>
      </c>
      <c r="N86">
        <v>1</v>
      </c>
      <c r="O86">
        <v>1</v>
      </c>
      <c r="P86" s="19" t="s">
        <v>402</v>
      </c>
      <c r="Q86" s="19" t="s">
        <v>259</v>
      </c>
      <c r="R86" s="19" t="s">
        <v>121</v>
      </c>
      <c r="S86" s="19" t="s">
        <v>152</v>
      </c>
      <c r="T86" s="16">
        <v>26.99</v>
      </c>
      <c r="U86" s="16">
        <v>25.63</v>
      </c>
      <c r="V86" s="16">
        <v>52.62</v>
      </c>
      <c r="W86" s="19" t="s">
        <v>967</v>
      </c>
      <c r="X86" s="19" t="s">
        <v>265</v>
      </c>
      <c r="Y86" s="12">
        <v>43177</v>
      </c>
      <c r="Z86" s="12">
        <v>43171</v>
      </c>
      <c r="AA86" s="12">
        <v>43177</v>
      </c>
    </row>
    <row r="87" spans="1:27" x14ac:dyDescent="0.25">
      <c r="A87">
        <v>83</v>
      </c>
      <c r="B87" s="19" t="s">
        <v>253</v>
      </c>
      <c r="C87" s="19" t="s">
        <v>254</v>
      </c>
      <c r="D87" s="19" t="s">
        <v>261</v>
      </c>
      <c r="E87" s="19" t="s">
        <v>262</v>
      </c>
      <c r="F87" s="19" t="s">
        <v>403</v>
      </c>
      <c r="G87" s="12">
        <v>43131</v>
      </c>
      <c r="H87" s="12">
        <v>43160</v>
      </c>
      <c r="I87">
        <v>18</v>
      </c>
      <c r="J87" s="12">
        <v>43137</v>
      </c>
      <c r="K87" t="b">
        <v>1</v>
      </c>
      <c r="L87" s="12">
        <v>43133</v>
      </c>
      <c r="M87" t="b">
        <v>0</v>
      </c>
      <c r="N87">
        <v>1</v>
      </c>
      <c r="O87">
        <v>1</v>
      </c>
      <c r="P87" s="19" t="s">
        <v>292</v>
      </c>
      <c r="Q87" s="19" t="s">
        <v>259</v>
      </c>
      <c r="R87" s="19" t="s">
        <v>131</v>
      </c>
      <c r="S87" s="19" t="s">
        <v>122</v>
      </c>
      <c r="T87" s="16">
        <v>149</v>
      </c>
      <c r="U87" s="16">
        <v>40.369999999999997</v>
      </c>
      <c r="V87" s="16">
        <v>189.37</v>
      </c>
      <c r="W87" s="19" t="s">
        <v>968</v>
      </c>
      <c r="X87" s="19" t="s">
        <v>265</v>
      </c>
      <c r="Y87" s="12">
        <v>43177</v>
      </c>
      <c r="Z87" s="12">
        <v>43171</v>
      </c>
      <c r="AA87" s="12">
        <v>43177</v>
      </c>
    </row>
    <row r="88" spans="1:27" x14ac:dyDescent="0.25">
      <c r="A88">
        <v>84</v>
      </c>
      <c r="B88" s="19" t="s">
        <v>253</v>
      </c>
      <c r="C88" s="19" t="s">
        <v>254</v>
      </c>
      <c r="D88" s="19" t="s">
        <v>261</v>
      </c>
      <c r="E88" s="19" t="s">
        <v>262</v>
      </c>
      <c r="F88" s="19" t="s">
        <v>404</v>
      </c>
      <c r="G88" s="12">
        <v>43131</v>
      </c>
      <c r="H88" s="12">
        <v>43160</v>
      </c>
      <c r="I88">
        <v>18</v>
      </c>
      <c r="J88" s="12">
        <v>43137</v>
      </c>
      <c r="K88" t="b">
        <v>1</v>
      </c>
      <c r="L88" s="12">
        <v>43133</v>
      </c>
      <c r="M88" t="b">
        <v>0</v>
      </c>
      <c r="N88">
        <v>1</v>
      </c>
      <c r="O88">
        <v>1</v>
      </c>
      <c r="P88" s="19" t="s">
        <v>405</v>
      </c>
      <c r="Q88" s="19" t="s">
        <v>259</v>
      </c>
      <c r="R88" s="19" t="s">
        <v>121</v>
      </c>
      <c r="S88" s="19" t="s">
        <v>152</v>
      </c>
      <c r="T88" s="16">
        <v>75.900000000000006</v>
      </c>
      <c r="U88" s="16">
        <v>17.809999999999999</v>
      </c>
      <c r="V88" s="16">
        <v>93.71</v>
      </c>
      <c r="W88" s="19" t="s">
        <v>968</v>
      </c>
      <c r="X88" s="19" t="s">
        <v>265</v>
      </c>
      <c r="Y88" s="12">
        <v>43177</v>
      </c>
      <c r="Z88" s="12">
        <v>43171</v>
      </c>
      <c r="AA88" s="12">
        <v>43177</v>
      </c>
    </row>
    <row r="89" spans="1:27" x14ac:dyDescent="0.25">
      <c r="A89">
        <v>85</v>
      </c>
      <c r="B89" s="19" t="s">
        <v>253</v>
      </c>
      <c r="C89" s="19" t="s">
        <v>254</v>
      </c>
      <c r="D89" s="19" t="s">
        <v>261</v>
      </c>
      <c r="E89" s="19" t="s">
        <v>262</v>
      </c>
      <c r="F89" s="19" t="s">
        <v>406</v>
      </c>
      <c r="G89" s="12">
        <v>43132</v>
      </c>
      <c r="H89" s="12">
        <v>43160</v>
      </c>
      <c r="I89">
        <v>18</v>
      </c>
      <c r="J89" s="12">
        <v>43138</v>
      </c>
      <c r="K89" t="b">
        <v>1</v>
      </c>
      <c r="L89" s="12">
        <v>43134</v>
      </c>
      <c r="M89" t="b">
        <v>0</v>
      </c>
      <c r="N89">
        <v>1</v>
      </c>
      <c r="O89">
        <v>1</v>
      </c>
      <c r="P89" s="19" t="s">
        <v>407</v>
      </c>
      <c r="Q89" s="19" t="s">
        <v>259</v>
      </c>
      <c r="R89" s="19" t="s">
        <v>135</v>
      </c>
      <c r="S89" s="19" t="s">
        <v>122</v>
      </c>
      <c r="T89" s="16">
        <v>130</v>
      </c>
      <c r="U89" s="16">
        <v>19.149999999999999</v>
      </c>
      <c r="V89" s="16">
        <v>149.15</v>
      </c>
      <c r="W89" s="19" t="s">
        <v>969</v>
      </c>
      <c r="X89" s="19" t="s">
        <v>265</v>
      </c>
      <c r="Y89" s="12">
        <v>43177</v>
      </c>
      <c r="Z89" s="12">
        <v>43171</v>
      </c>
      <c r="AA89" s="12">
        <v>43177</v>
      </c>
    </row>
    <row r="90" spans="1:27" x14ac:dyDescent="0.25">
      <c r="A90">
        <v>86</v>
      </c>
      <c r="B90" s="19" t="s">
        <v>253</v>
      </c>
      <c r="C90" s="19" t="s">
        <v>254</v>
      </c>
      <c r="D90" s="19" t="s">
        <v>261</v>
      </c>
      <c r="E90" s="19" t="s">
        <v>262</v>
      </c>
      <c r="F90" s="19" t="s">
        <v>408</v>
      </c>
      <c r="G90" s="12">
        <v>43134</v>
      </c>
      <c r="H90" s="12">
        <v>43160</v>
      </c>
      <c r="I90">
        <v>18</v>
      </c>
      <c r="J90" s="12">
        <v>43139</v>
      </c>
      <c r="K90" t="b">
        <v>1</v>
      </c>
      <c r="L90" s="12">
        <v>43136</v>
      </c>
      <c r="M90" t="b">
        <v>0</v>
      </c>
      <c r="N90">
        <v>1</v>
      </c>
      <c r="O90">
        <v>1</v>
      </c>
      <c r="P90" s="19" t="s">
        <v>409</v>
      </c>
      <c r="Q90" s="19" t="s">
        <v>259</v>
      </c>
      <c r="R90" s="19" t="s">
        <v>122</v>
      </c>
      <c r="S90" s="19" t="s">
        <v>121</v>
      </c>
      <c r="T90" s="16">
        <v>659.99</v>
      </c>
      <c r="U90" s="16">
        <v>18.37</v>
      </c>
      <c r="V90" s="16">
        <v>678.36</v>
      </c>
      <c r="W90" s="19" t="s">
        <v>970</v>
      </c>
      <c r="X90" s="19" t="s">
        <v>265</v>
      </c>
      <c r="Y90" s="12">
        <v>43177</v>
      </c>
      <c r="Z90" s="12">
        <v>43171</v>
      </c>
      <c r="AA90" s="12">
        <v>43177</v>
      </c>
    </row>
    <row r="91" spans="1:27" x14ac:dyDescent="0.25">
      <c r="A91">
        <v>87</v>
      </c>
      <c r="B91" s="19" t="s">
        <v>253</v>
      </c>
      <c r="C91" s="19" t="s">
        <v>254</v>
      </c>
      <c r="D91" s="19" t="s">
        <v>261</v>
      </c>
      <c r="E91" s="19" t="s">
        <v>262</v>
      </c>
      <c r="F91" s="19" t="s">
        <v>410</v>
      </c>
      <c r="G91" s="12">
        <v>43134</v>
      </c>
      <c r="H91" s="12">
        <v>43160</v>
      </c>
      <c r="I91">
        <v>18</v>
      </c>
      <c r="J91" s="12">
        <v>43139</v>
      </c>
      <c r="K91" t="b">
        <v>1</v>
      </c>
      <c r="L91" s="12">
        <v>43136</v>
      </c>
      <c r="M91" t="b">
        <v>0</v>
      </c>
      <c r="N91">
        <v>1</v>
      </c>
      <c r="O91">
        <v>1</v>
      </c>
      <c r="P91" s="19" t="s">
        <v>411</v>
      </c>
      <c r="Q91" s="19" t="s">
        <v>259</v>
      </c>
      <c r="R91" s="19" t="s">
        <v>125</v>
      </c>
      <c r="S91" s="19" t="s">
        <v>125</v>
      </c>
      <c r="T91" s="16">
        <v>149</v>
      </c>
      <c r="U91" s="16">
        <v>13.29</v>
      </c>
      <c r="V91" s="16">
        <v>162.29</v>
      </c>
      <c r="W91" s="19" t="s">
        <v>970</v>
      </c>
      <c r="X91" s="19" t="s">
        <v>265</v>
      </c>
      <c r="Y91" s="12">
        <v>43177</v>
      </c>
      <c r="Z91" s="12">
        <v>43171</v>
      </c>
      <c r="AA91" s="12">
        <v>43177</v>
      </c>
    </row>
    <row r="92" spans="1:27" x14ac:dyDescent="0.25">
      <c r="A92">
        <v>88</v>
      </c>
      <c r="B92" s="19" t="s">
        <v>253</v>
      </c>
      <c r="C92" s="19" t="s">
        <v>254</v>
      </c>
      <c r="D92" s="19" t="s">
        <v>261</v>
      </c>
      <c r="E92" s="19" t="s">
        <v>262</v>
      </c>
      <c r="F92" s="19" t="s">
        <v>412</v>
      </c>
      <c r="G92" s="12">
        <v>43132</v>
      </c>
      <c r="H92" s="12">
        <v>43160</v>
      </c>
      <c r="I92">
        <v>18</v>
      </c>
      <c r="J92" s="12">
        <v>43139</v>
      </c>
      <c r="K92" t="b">
        <v>1</v>
      </c>
      <c r="L92" s="12">
        <v>43136</v>
      </c>
      <c r="M92" t="b">
        <v>0</v>
      </c>
      <c r="N92">
        <v>1</v>
      </c>
      <c r="O92">
        <v>1</v>
      </c>
      <c r="P92" s="19" t="s">
        <v>413</v>
      </c>
      <c r="Q92" s="19" t="s">
        <v>259</v>
      </c>
      <c r="R92" s="19" t="s">
        <v>121</v>
      </c>
      <c r="S92" s="19" t="s">
        <v>125</v>
      </c>
      <c r="T92" s="16">
        <v>19.899999999999999</v>
      </c>
      <c r="U92" s="16">
        <v>14.1</v>
      </c>
      <c r="V92" s="16">
        <v>34</v>
      </c>
      <c r="W92" s="19" t="s">
        <v>970</v>
      </c>
      <c r="X92" s="19" t="s">
        <v>265</v>
      </c>
      <c r="Y92" s="12">
        <v>43177</v>
      </c>
      <c r="Z92" s="12">
        <v>43171</v>
      </c>
      <c r="AA92" s="12">
        <v>43177</v>
      </c>
    </row>
    <row r="93" spans="1:27" x14ac:dyDescent="0.25">
      <c r="A93">
        <v>89</v>
      </c>
      <c r="B93" s="19" t="s">
        <v>253</v>
      </c>
      <c r="C93" s="19" t="s">
        <v>254</v>
      </c>
      <c r="D93" s="19" t="s">
        <v>261</v>
      </c>
      <c r="E93" s="19" t="s">
        <v>262</v>
      </c>
      <c r="F93" s="19" t="s">
        <v>414</v>
      </c>
      <c r="G93" s="12">
        <v>43136</v>
      </c>
      <c r="H93" s="12">
        <v>43160</v>
      </c>
      <c r="I93">
        <v>18</v>
      </c>
      <c r="J93" s="12">
        <v>43140</v>
      </c>
      <c r="K93" t="b">
        <v>1</v>
      </c>
      <c r="L93" s="12">
        <v>43137</v>
      </c>
      <c r="M93" t="b">
        <v>0</v>
      </c>
      <c r="N93">
        <v>1</v>
      </c>
      <c r="O93">
        <v>1</v>
      </c>
      <c r="P93" s="19" t="s">
        <v>415</v>
      </c>
      <c r="Q93" s="19" t="s">
        <v>259</v>
      </c>
      <c r="R93" s="19" t="s">
        <v>121</v>
      </c>
      <c r="S93" s="19" t="s">
        <v>122</v>
      </c>
      <c r="T93" s="16">
        <v>199.9</v>
      </c>
      <c r="U93" s="16">
        <v>20.89</v>
      </c>
      <c r="V93" s="16">
        <v>220.79</v>
      </c>
      <c r="W93" s="19" t="s">
        <v>971</v>
      </c>
      <c r="X93" s="19" t="s">
        <v>265</v>
      </c>
      <c r="Y93" s="12">
        <v>43177</v>
      </c>
      <c r="Z93" s="12">
        <v>43171</v>
      </c>
      <c r="AA93" s="12">
        <v>43177</v>
      </c>
    </row>
    <row r="94" spans="1:27" x14ac:dyDescent="0.25">
      <c r="A94">
        <v>90</v>
      </c>
      <c r="B94" s="19" t="s">
        <v>253</v>
      </c>
      <c r="C94" s="19" t="s">
        <v>254</v>
      </c>
      <c r="D94" s="19" t="s">
        <v>261</v>
      </c>
      <c r="E94" s="19" t="s">
        <v>262</v>
      </c>
      <c r="F94" s="19" t="s">
        <v>416</v>
      </c>
      <c r="G94" s="12">
        <v>43136</v>
      </c>
      <c r="H94" s="12">
        <v>43160</v>
      </c>
      <c r="I94">
        <v>18</v>
      </c>
      <c r="J94" s="12">
        <v>43140</v>
      </c>
      <c r="K94" t="b">
        <v>1</v>
      </c>
      <c r="L94" s="12">
        <v>43137</v>
      </c>
      <c r="M94" t="b">
        <v>0</v>
      </c>
      <c r="N94">
        <v>1</v>
      </c>
      <c r="O94">
        <v>1</v>
      </c>
      <c r="P94" s="19" t="s">
        <v>417</v>
      </c>
      <c r="Q94" s="19" t="s">
        <v>259</v>
      </c>
      <c r="R94" s="19" t="s">
        <v>121</v>
      </c>
      <c r="S94" s="19" t="s">
        <v>121</v>
      </c>
      <c r="T94" s="16">
        <v>150</v>
      </c>
      <c r="U94" s="16">
        <v>12.55</v>
      </c>
      <c r="V94" s="16">
        <v>162.55000000000001</v>
      </c>
      <c r="W94" s="19" t="s">
        <v>971</v>
      </c>
      <c r="X94" s="19" t="s">
        <v>265</v>
      </c>
      <c r="Y94" s="12">
        <v>43177</v>
      </c>
      <c r="Z94" s="12">
        <v>43171</v>
      </c>
      <c r="AA94" s="12">
        <v>43177</v>
      </c>
    </row>
    <row r="95" spans="1:27" x14ac:dyDescent="0.25">
      <c r="A95">
        <v>91</v>
      </c>
      <c r="B95" s="19" t="s">
        <v>253</v>
      </c>
      <c r="C95" s="19" t="s">
        <v>254</v>
      </c>
      <c r="D95" s="19" t="s">
        <v>261</v>
      </c>
      <c r="E95" s="19" t="s">
        <v>262</v>
      </c>
      <c r="F95" s="19" t="s">
        <v>418</v>
      </c>
      <c r="G95" s="12">
        <v>43136</v>
      </c>
      <c r="H95" s="12">
        <v>43160</v>
      </c>
      <c r="I95">
        <v>18</v>
      </c>
      <c r="J95" s="12">
        <v>43140</v>
      </c>
      <c r="K95" t="b">
        <v>1</v>
      </c>
      <c r="L95" s="12">
        <v>43137</v>
      </c>
      <c r="M95" t="b">
        <v>0</v>
      </c>
      <c r="N95">
        <v>1</v>
      </c>
      <c r="O95">
        <v>1</v>
      </c>
      <c r="P95" s="19" t="s">
        <v>419</v>
      </c>
      <c r="Q95" s="19" t="s">
        <v>259</v>
      </c>
      <c r="R95" s="19" t="s">
        <v>121</v>
      </c>
      <c r="S95" s="19" t="s">
        <v>122</v>
      </c>
      <c r="T95" s="16">
        <v>109.9</v>
      </c>
      <c r="U95" s="16">
        <v>17.02</v>
      </c>
      <c r="V95" s="16">
        <v>126.92</v>
      </c>
      <c r="W95" s="19" t="s">
        <v>971</v>
      </c>
      <c r="X95" s="19" t="s">
        <v>265</v>
      </c>
      <c r="Y95" s="12">
        <v>43177</v>
      </c>
      <c r="Z95" s="12">
        <v>43171</v>
      </c>
      <c r="AA95" s="12">
        <v>43177</v>
      </c>
    </row>
    <row r="96" spans="1:27" x14ac:dyDescent="0.25">
      <c r="A96">
        <v>92</v>
      </c>
      <c r="B96" s="19" t="s">
        <v>253</v>
      </c>
      <c r="C96" s="19" t="s">
        <v>254</v>
      </c>
      <c r="D96" s="19" t="s">
        <v>261</v>
      </c>
      <c r="E96" s="19" t="s">
        <v>262</v>
      </c>
      <c r="F96" s="19" t="s">
        <v>420</v>
      </c>
      <c r="G96" s="12">
        <v>43136</v>
      </c>
      <c r="H96" s="12">
        <v>43160</v>
      </c>
      <c r="I96">
        <v>18</v>
      </c>
      <c r="J96" s="12">
        <v>43140</v>
      </c>
      <c r="K96" t="b">
        <v>1</v>
      </c>
      <c r="L96" s="12">
        <v>43137</v>
      </c>
      <c r="M96" t="b">
        <v>0</v>
      </c>
      <c r="N96">
        <v>1</v>
      </c>
      <c r="O96">
        <v>1</v>
      </c>
      <c r="P96" s="19" t="s">
        <v>405</v>
      </c>
      <c r="Q96" s="19" t="s">
        <v>259</v>
      </c>
      <c r="R96" s="19" t="s">
        <v>121</v>
      </c>
      <c r="S96" s="19" t="s">
        <v>122</v>
      </c>
      <c r="T96" s="16">
        <v>21.9</v>
      </c>
      <c r="U96" s="16">
        <v>14.1</v>
      </c>
      <c r="V96" s="16">
        <v>36</v>
      </c>
      <c r="W96" s="19" t="s">
        <v>971</v>
      </c>
      <c r="X96" s="19" t="s">
        <v>265</v>
      </c>
      <c r="Y96" s="12">
        <v>43177</v>
      </c>
      <c r="Z96" s="12">
        <v>43171</v>
      </c>
      <c r="AA96" s="12">
        <v>43177</v>
      </c>
    </row>
    <row r="97" spans="1:27" x14ac:dyDescent="0.25">
      <c r="A97">
        <v>93</v>
      </c>
      <c r="B97" s="19" t="s">
        <v>253</v>
      </c>
      <c r="C97" s="19" t="s">
        <v>254</v>
      </c>
      <c r="D97" s="19" t="s">
        <v>255</v>
      </c>
      <c r="E97" s="19" t="s">
        <v>256</v>
      </c>
      <c r="F97" s="19" t="s">
        <v>421</v>
      </c>
      <c r="G97" s="12">
        <v>43144</v>
      </c>
      <c r="H97" s="12">
        <v>43160</v>
      </c>
      <c r="I97">
        <v>18</v>
      </c>
      <c r="J97" s="12"/>
      <c r="K97" t="b">
        <v>1</v>
      </c>
      <c r="L97" s="12"/>
      <c r="M97" t="b">
        <v>0</v>
      </c>
      <c r="N97">
        <v>0</v>
      </c>
      <c r="O97">
        <v>0</v>
      </c>
      <c r="P97" s="19" t="s">
        <v>172</v>
      </c>
      <c r="Q97" s="19" t="s">
        <v>285</v>
      </c>
      <c r="R97" s="19" t="s">
        <v>172</v>
      </c>
      <c r="S97" s="19" t="s">
        <v>121</v>
      </c>
      <c r="T97" s="16">
        <v>0</v>
      </c>
      <c r="U97" s="16">
        <v>0</v>
      </c>
      <c r="V97" s="16">
        <v>847.3</v>
      </c>
      <c r="W97" s="19" t="s">
        <v>172</v>
      </c>
      <c r="X97" s="19" t="s">
        <v>260</v>
      </c>
      <c r="Y97" s="12">
        <v>43177</v>
      </c>
      <c r="Z97" s="12">
        <v>43171</v>
      </c>
      <c r="AA97" s="12">
        <v>43177</v>
      </c>
    </row>
    <row r="98" spans="1:27" x14ac:dyDescent="0.25">
      <c r="A98">
        <v>94</v>
      </c>
      <c r="B98" s="19" t="s">
        <v>253</v>
      </c>
      <c r="C98" s="19" t="s">
        <v>254</v>
      </c>
      <c r="D98" s="19" t="s">
        <v>261</v>
      </c>
      <c r="E98" s="19" t="s">
        <v>262</v>
      </c>
      <c r="F98" s="19" t="s">
        <v>422</v>
      </c>
      <c r="G98" s="12">
        <v>43125</v>
      </c>
      <c r="H98" s="12">
        <v>43161</v>
      </c>
      <c r="I98">
        <v>17</v>
      </c>
      <c r="J98" s="12">
        <v>43131</v>
      </c>
      <c r="K98" t="b">
        <v>1</v>
      </c>
      <c r="L98" s="12">
        <v>43132</v>
      </c>
      <c r="M98" t="b">
        <v>0</v>
      </c>
      <c r="N98">
        <v>2</v>
      </c>
      <c r="O98">
        <v>1</v>
      </c>
      <c r="P98" s="19" t="s">
        <v>423</v>
      </c>
      <c r="Q98" s="19" t="s">
        <v>259</v>
      </c>
      <c r="R98" s="19" t="s">
        <v>121</v>
      </c>
      <c r="S98" s="19" t="s">
        <v>152</v>
      </c>
      <c r="T98" s="16">
        <v>79.8</v>
      </c>
      <c r="U98" s="16">
        <v>51.26</v>
      </c>
      <c r="V98" s="16">
        <v>131.06</v>
      </c>
      <c r="W98" s="19" t="s">
        <v>972</v>
      </c>
      <c r="X98" s="19" t="s">
        <v>265</v>
      </c>
      <c r="Y98" s="12">
        <v>43177</v>
      </c>
      <c r="Z98" s="12">
        <v>43171</v>
      </c>
      <c r="AA98" s="12">
        <v>43177</v>
      </c>
    </row>
    <row r="99" spans="1:27" x14ac:dyDescent="0.25">
      <c r="A99">
        <v>95</v>
      </c>
      <c r="B99" s="19" t="s">
        <v>253</v>
      </c>
      <c r="C99" s="19" t="s">
        <v>254</v>
      </c>
      <c r="D99" s="19" t="s">
        <v>261</v>
      </c>
      <c r="E99" s="19" t="s">
        <v>262</v>
      </c>
      <c r="F99" s="19" t="s">
        <v>424</v>
      </c>
      <c r="G99" s="12">
        <v>43128</v>
      </c>
      <c r="H99" s="12">
        <v>43161</v>
      </c>
      <c r="I99">
        <v>17</v>
      </c>
      <c r="J99" s="12">
        <v>43132</v>
      </c>
      <c r="K99" t="b">
        <v>1</v>
      </c>
      <c r="L99" s="12">
        <v>43129</v>
      </c>
      <c r="M99" t="b">
        <v>0</v>
      </c>
      <c r="N99">
        <v>1</v>
      </c>
      <c r="O99">
        <v>1</v>
      </c>
      <c r="P99" s="19" t="s">
        <v>417</v>
      </c>
      <c r="Q99" s="19" t="s">
        <v>259</v>
      </c>
      <c r="R99" s="19" t="s">
        <v>121</v>
      </c>
      <c r="S99" s="19" t="s">
        <v>129</v>
      </c>
      <c r="T99" s="16">
        <v>150</v>
      </c>
      <c r="U99" s="16">
        <v>17.489999999999998</v>
      </c>
      <c r="V99" s="16">
        <v>167.49</v>
      </c>
      <c r="W99" s="19" t="s">
        <v>973</v>
      </c>
      <c r="X99" s="19" t="s">
        <v>265</v>
      </c>
      <c r="Y99" s="12">
        <v>43177</v>
      </c>
      <c r="Z99" s="12">
        <v>43171</v>
      </c>
      <c r="AA99" s="12">
        <v>43177</v>
      </c>
    </row>
    <row r="100" spans="1:27" x14ac:dyDescent="0.25">
      <c r="A100">
        <v>96</v>
      </c>
      <c r="B100" s="19" t="s">
        <v>253</v>
      </c>
      <c r="C100" s="19" t="s">
        <v>254</v>
      </c>
      <c r="D100" s="19" t="s">
        <v>255</v>
      </c>
      <c r="E100" s="19" t="s">
        <v>256</v>
      </c>
      <c r="F100" s="19" t="s">
        <v>425</v>
      </c>
      <c r="G100" s="12">
        <v>43126</v>
      </c>
      <c r="H100" s="12">
        <v>43161</v>
      </c>
      <c r="I100">
        <v>17</v>
      </c>
      <c r="J100" s="12">
        <v>43132</v>
      </c>
      <c r="K100" t="b">
        <v>1</v>
      </c>
      <c r="L100" s="12"/>
      <c r="M100" t="b">
        <v>0</v>
      </c>
      <c r="N100">
        <v>1</v>
      </c>
      <c r="O100">
        <v>1</v>
      </c>
      <c r="P100" s="19" t="s">
        <v>426</v>
      </c>
      <c r="Q100" s="19" t="s">
        <v>259</v>
      </c>
      <c r="R100" s="19" t="s">
        <v>121</v>
      </c>
      <c r="S100" s="19" t="s">
        <v>129</v>
      </c>
      <c r="T100" s="16">
        <v>95</v>
      </c>
      <c r="U100" s="16">
        <v>19.91</v>
      </c>
      <c r="V100" s="16">
        <v>114.91</v>
      </c>
      <c r="W100" s="19" t="s">
        <v>974</v>
      </c>
      <c r="X100" s="19" t="s">
        <v>260</v>
      </c>
      <c r="Y100" s="12">
        <v>43177</v>
      </c>
      <c r="Z100" s="12">
        <v>43171</v>
      </c>
      <c r="AA100" s="12">
        <v>43177</v>
      </c>
    </row>
    <row r="101" spans="1:27" x14ac:dyDescent="0.25">
      <c r="A101">
        <v>97</v>
      </c>
      <c r="B101" s="19" t="s">
        <v>253</v>
      </c>
      <c r="C101" s="19" t="s">
        <v>254</v>
      </c>
      <c r="D101" s="19" t="s">
        <v>261</v>
      </c>
      <c r="E101" s="19" t="s">
        <v>262</v>
      </c>
      <c r="F101" s="19" t="s">
        <v>427</v>
      </c>
      <c r="G101" s="12">
        <v>43128</v>
      </c>
      <c r="H101" s="12">
        <v>43161</v>
      </c>
      <c r="I101">
        <v>17</v>
      </c>
      <c r="J101" s="12">
        <v>43133</v>
      </c>
      <c r="K101" t="b">
        <v>1</v>
      </c>
      <c r="L101" s="12">
        <v>43130</v>
      </c>
      <c r="M101" t="b">
        <v>0</v>
      </c>
      <c r="N101">
        <v>1</v>
      </c>
      <c r="O101">
        <v>1</v>
      </c>
      <c r="P101" s="19" t="s">
        <v>428</v>
      </c>
      <c r="Q101" s="19" t="s">
        <v>259</v>
      </c>
      <c r="R101" s="19" t="s">
        <v>131</v>
      </c>
      <c r="S101" s="19" t="s">
        <v>148</v>
      </c>
      <c r="T101" s="16">
        <v>980.9</v>
      </c>
      <c r="U101" s="16">
        <v>262.72000000000003</v>
      </c>
      <c r="V101" s="16">
        <v>1243.6199999999999</v>
      </c>
      <c r="W101" s="19" t="s">
        <v>975</v>
      </c>
      <c r="X101" s="19" t="s">
        <v>265</v>
      </c>
      <c r="Y101" s="12">
        <v>43177</v>
      </c>
      <c r="Z101" s="12">
        <v>43171</v>
      </c>
      <c r="AA101" s="12">
        <v>43177</v>
      </c>
    </row>
    <row r="102" spans="1:27" x14ac:dyDescent="0.25">
      <c r="A102">
        <v>98</v>
      </c>
      <c r="B102" s="19" t="s">
        <v>253</v>
      </c>
      <c r="C102" s="19" t="s">
        <v>254</v>
      </c>
      <c r="D102" s="19" t="s">
        <v>261</v>
      </c>
      <c r="E102" s="19" t="s">
        <v>262</v>
      </c>
      <c r="F102" s="19" t="s">
        <v>429</v>
      </c>
      <c r="G102" s="12">
        <v>43129</v>
      </c>
      <c r="H102" s="12">
        <v>43161</v>
      </c>
      <c r="I102">
        <v>17</v>
      </c>
      <c r="J102" s="12">
        <v>43138</v>
      </c>
      <c r="K102" t="b">
        <v>1</v>
      </c>
      <c r="L102" s="12">
        <v>43130</v>
      </c>
      <c r="M102" t="b">
        <v>0</v>
      </c>
      <c r="N102">
        <v>1</v>
      </c>
      <c r="O102">
        <v>1</v>
      </c>
      <c r="P102" s="19" t="s">
        <v>365</v>
      </c>
      <c r="Q102" s="19" t="s">
        <v>259</v>
      </c>
      <c r="R102" s="19" t="s">
        <v>121</v>
      </c>
      <c r="S102" s="19" t="s">
        <v>122</v>
      </c>
      <c r="T102" s="16">
        <v>56.99</v>
      </c>
      <c r="U102" s="16">
        <v>15.15</v>
      </c>
      <c r="V102" s="16">
        <v>72.14</v>
      </c>
      <c r="W102" s="19" t="s">
        <v>975</v>
      </c>
      <c r="X102" s="19" t="s">
        <v>265</v>
      </c>
      <c r="Y102" s="12">
        <v>43177</v>
      </c>
      <c r="Z102" s="12">
        <v>43171</v>
      </c>
      <c r="AA102" s="12">
        <v>43177</v>
      </c>
    </row>
    <row r="103" spans="1:27" x14ac:dyDescent="0.25">
      <c r="A103">
        <v>99</v>
      </c>
      <c r="B103" s="19" t="s">
        <v>253</v>
      </c>
      <c r="C103" s="19" t="s">
        <v>254</v>
      </c>
      <c r="D103" s="19" t="s">
        <v>261</v>
      </c>
      <c r="E103" s="19" t="s">
        <v>262</v>
      </c>
      <c r="F103" s="19" t="s">
        <v>430</v>
      </c>
      <c r="G103" s="12">
        <v>43132</v>
      </c>
      <c r="H103" s="12">
        <v>43161</v>
      </c>
      <c r="I103">
        <v>17</v>
      </c>
      <c r="J103" s="12">
        <v>43139</v>
      </c>
      <c r="K103" t="b">
        <v>1</v>
      </c>
      <c r="L103" s="12">
        <v>43137</v>
      </c>
      <c r="M103" t="b">
        <v>0</v>
      </c>
      <c r="N103">
        <v>1</v>
      </c>
      <c r="O103">
        <v>1</v>
      </c>
      <c r="P103" s="19" t="s">
        <v>431</v>
      </c>
      <c r="Q103" s="19" t="s">
        <v>259</v>
      </c>
      <c r="R103" s="19" t="s">
        <v>122</v>
      </c>
      <c r="S103" s="19" t="s">
        <v>135</v>
      </c>
      <c r="T103" s="16">
        <v>108</v>
      </c>
      <c r="U103" s="16">
        <v>16.52</v>
      </c>
      <c r="V103" s="16">
        <v>124.52</v>
      </c>
      <c r="W103" s="19" t="s">
        <v>976</v>
      </c>
      <c r="X103" s="19" t="s">
        <v>265</v>
      </c>
      <c r="Y103" s="12">
        <v>43177</v>
      </c>
      <c r="Z103" s="12">
        <v>43171</v>
      </c>
      <c r="AA103" s="12">
        <v>43177</v>
      </c>
    </row>
    <row r="104" spans="1:27" x14ac:dyDescent="0.25">
      <c r="A104">
        <v>100</v>
      </c>
      <c r="B104" s="19" t="s">
        <v>253</v>
      </c>
      <c r="C104" s="19" t="s">
        <v>254</v>
      </c>
      <c r="D104" s="19" t="s">
        <v>261</v>
      </c>
      <c r="E104" s="19" t="s">
        <v>262</v>
      </c>
      <c r="F104" s="19" t="s">
        <v>432</v>
      </c>
      <c r="G104" s="12">
        <v>43127</v>
      </c>
      <c r="H104" s="12">
        <v>43161</v>
      </c>
      <c r="I104">
        <v>17</v>
      </c>
      <c r="J104" s="12">
        <v>43140</v>
      </c>
      <c r="K104" t="b">
        <v>1</v>
      </c>
      <c r="L104" s="12">
        <v>43130</v>
      </c>
      <c r="M104" t="b">
        <v>0</v>
      </c>
      <c r="N104">
        <v>1</v>
      </c>
      <c r="O104">
        <v>1</v>
      </c>
      <c r="P104" s="19" t="s">
        <v>433</v>
      </c>
      <c r="Q104" s="19" t="s">
        <v>259</v>
      </c>
      <c r="R104" s="19" t="s">
        <v>121</v>
      </c>
      <c r="S104" s="19" t="s">
        <v>122</v>
      </c>
      <c r="T104" s="16">
        <v>215</v>
      </c>
      <c r="U104" s="16">
        <v>21</v>
      </c>
      <c r="V104" s="16">
        <v>236</v>
      </c>
      <c r="W104" s="19" t="s">
        <v>975</v>
      </c>
      <c r="X104" s="19" t="s">
        <v>265</v>
      </c>
      <c r="Y104" s="12">
        <v>43177</v>
      </c>
      <c r="Z104" s="12">
        <v>43171</v>
      </c>
      <c r="AA104" s="12">
        <v>43177</v>
      </c>
    </row>
    <row r="105" spans="1:27" x14ac:dyDescent="0.25">
      <c r="A105">
        <v>101</v>
      </c>
      <c r="B105" s="19" t="s">
        <v>253</v>
      </c>
      <c r="C105" s="19" t="s">
        <v>254</v>
      </c>
      <c r="D105" s="19" t="s">
        <v>261</v>
      </c>
      <c r="E105" s="19" t="s">
        <v>262</v>
      </c>
      <c r="F105" s="19" t="s">
        <v>434</v>
      </c>
      <c r="G105" s="12">
        <v>43139</v>
      </c>
      <c r="H105" s="12">
        <v>43161</v>
      </c>
      <c r="I105">
        <v>17</v>
      </c>
      <c r="J105" s="12">
        <v>43145</v>
      </c>
      <c r="K105" t="b">
        <v>1</v>
      </c>
      <c r="L105" s="12">
        <v>43140</v>
      </c>
      <c r="M105" t="b">
        <v>0</v>
      </c>
      <c r="N105">
        <v>1</v>
      </c>
      <c r="O105">
        <v>1</v>
      </c>
      <c r="P105" s="19" t="s">
        <v>435</v>
      </c>
      <c r="Q105" s="19" t="s">
        <v>259</v>
      </c>
      <c r="R105" s="19" t="s">
        <v>121</v>
      </c>
      <c r="S105" s="19" t="s">
        <v>121</v>
      </c>
      <c r="T105" s="16">
        <v>13.99</v>
      </c>
      <c r="U105" s="16">
        <v>11.85</v>
      </c>
      <c r="V105" s="16">
        <v>25.84</v>
      </c>
      <c r="W105" s="19" t="s">
        <v>977</v>
      </c>
      <c r="X105" s="19" t="s">
        <v>265</v>
      </c>
      <c r="Y105" s="12">
        <v>43177</v>
      </c>
      <c r="Z105" s="12">
        <v>43171</v>
      </c>
      <c r="AA105" s="12">
        <v>43177</v>
      </c>
    </row>
    <row r="106" spans="1:27" x14ac:dyDescent="0.25">
      <c r="A106">
        <v>102</v>
      </c>
      <c r="B106" s="19" t="s">
        <v>253</v>
      </c>
      <c r="C106" s="19" t="s">
        <v>254</v>
      </c>
      <c r="D106" s="19" t="s">
        <v>261</v>
      </c>
      <c r="E106" s="19" t="s">
        <v>262</v>
      </c>
      <c r="F106" s="19" t="s">
        <v>436</v>
      </c>
      <c r="G106" s="12">
        <v>43139</v>
      </c>
      <c r="H106" s="12">
        <v>43161</v>
      </c>
      <c r="I106">
        <v>17</v>
      </c>
      <c r="J106" s="12">
        <v>43146</v>
      </c>
      <c r="K106" t="b">
        <v>1</v>
      </c>
      <c r="L106" s="12">
        <v>43146</v>
      </c>
      <c r="M106" t="b">
        <v>0</v>
      </c>
      <c r="N106">
        <v>1</v>
      </c>
      <c r="O106">
        <v>1</v>
      </c>
      <c r="P106" s="19" t="s">
        <v>437</v>
      </c>
      <c r="Q106" s="19" t="s">
        <v>259</v>
      </c>
      <c r="R106" s="19" t="s">
        <v>131</v>
      </c>
      <c r="S106" s="19" t="s">
        <v>122</v>
      </c>
      <c r="T106" s="16">
        <v>54</v>
      </c>
      <c r="U106" s="16">
        <v>16.63</v>
      </c>
      <c r="V106" s="16">
        <v>70.63</v>
      </c>
      <c r="W106" s="19" t="s">
        <v>978</v>
      </c>
      <c r="X106" s="19" t="s">
        <v>265</v>
      </c>
      <c r="Y106" s="12">
        <v>43177</v>
      </c>
      <c r="Z106" s="12">
        <v>43171</v>
      </c>
      <c r="AA106" s="12">
        <v>43177</v>
      </c>
    </row>
    <row r="107" spans="1:27" x14ac:dyDescent="0.25">
      <c r="A107">
        <v>103</v>
      </c>
      <c r="B107" s="19" t="s">
        <v>253</v>
      </c>
      <c r="C107" s="19" t="s">
        <v>254</v>
      </c>
      <c r="D107" s="19" t="s">
        <v>255</v>
      </c>
      <c r="E107" s="19" t="s">
        <v>256</v>
      </c>
      <c r="F107" s="19" t="s">
        <v>438</v>
      </c>
      <c r="G107" s="12">
        <v>43129</v>
      </c>
      <c r="H107" s="12">
        <v>43161</v>
      </c>
      <c r="I107">
        <v>17</v>
      </c>
      <c r="J107" s="12">
        <v>43151</v>
      </c>
      <c r="K107" t="b">
        <v>1</v>
      </c>
      <c r="L107" s="12"/>
      <c r="M107" t="b">
        <v>0</v>
      </c>
      <c r="N107">
        <v>1</v>
      </c>
      <c r="O107">
        <v>1</v>
      </c>
      <c r="P107" s="19" t="s">
        <v>439</v>
      </c>
      <c r="Q107" s="19" t="s">
        <v>259</v>
      </c>
      <c r="R107" s="19" t="s">
        <v>121</v>
      </c>
      <c r="S107" s="19" t="s">
        <v>121</v>
      </c>
      <c r="T107" s="16">
        <v>26.8</v>
      </c>
      <c r="U107" s="16">
        <v>12.69</v>
      </c>
      <c r="V107" s="16">
        <v>39.49</v>
      </c>
      <c r="W107" s="19" t="s">
        <v>979</v>
      </c>
      <c r="X107" s="19" t="s">
        <v>260</v>
      </c>
      <c r="Y107" s="12">
        <v>43177</v>
      </c>
      <c r="Z107" s="12">
        <v>43171</v>
      </c>
      <c r="AA107" s="12">
        <v>43177</v>
      </c>
    </row>
    <row r="108" spans="1:27" x14ac:dyDescent="0.25">
      <c r="A108">
        <v>104</v>
      </c>
      <c r="B108" s="19" t="s">
        <v>253</v>
      </c>
      <c r="C108" s="19" t="s">
        <v>254</v>
      </c>
      <c r="D108" s="19" t="s">
        <v>255</v>
      </c>
      <c r="E108" s="19" t="s">
        <v>256</v>
      </c>
      <c r="F108" s="19" t="s">
        <v>440</v>
      </c>
      <c r="G108" s="12">
        <v>43146</v>
      </c>
      <c r="H108" s="12">
        <v>43161</v>
      </c>
      <c r="I108">
        <v>17</v>
      </c>
      <c r="J108" s="12">
        <v>43152</v>
      </c>
      <c r="K108" t="b">
        <v>1</v>
      </c>
      <c r="L108" s="12"/>
      <c r="M108" t="b">
        <v>0</v>
      </c>
      <c r="N108">
        <v>1</v>
      </c>
      <c r="O108">
        <v>1</v>
      </c>
      <c r="P108" s="19" t="s">
        <v>441</v>
      </c>
      <c r="Q108" s="19" t="s">
        <v>259</v>
      </c>
      <c r="R108" s="19" t="s">
        <v>122</v>
      </c>
      <c r="S108" s="19" t="s">
        <v>122</v>
      </c>
      <c r="T108" s="16">
        <v>18.489999999999998</v>
      </c>
      <c r="U108" s="16">
        <v>7.94</v>
      </c>
      <c r="V108" s="16">
        <v>26.43</v>
      </c>
      <c r="W108" s="19" t="s">
        <v>980</v>
      </c>
      <c r="X108" s="19" t="s">
        <v>260</v>
      </c>
      <c r="Y108" s="12">
        <v>43177</v>
      </c>
      <c r="Z108" s="12">
        <v>43171</v>
      </c>
      <c r="AA108" s="12">
        <v>43177</v>
      </c>
    </row>
    <row r="109" spans="1:27" x14ac:dyDescent="0.25">
      <c r="A109">
        <v>105</v>
      </c>
      <c r="B109" s="19" t="s">
        <v>253</v>
      </c>
      <c r="C109" s="19" t="s">
        <v>254</v>
      </c>
      <c r="D109" s="19" t="s">
        <v>261</v>
      </c>
      <c r="E109" s="19" t="s">
        <v>262</v>
      </c>
      <c r="F109" s="19" t="s">
        <v>442</v>
      </c>
      <c r="G109" s="12">
        <v>43146</v>
      </c>
      <c r="H109" s="12">
        <v>43161</v>
      </c>
      <c r="I109">
        <v>17</v>
      </c>
      <c r="J109" s="12">
        <v>43153</v>
      </c>
      <c r="K109" t="b">
        <v>1</v>
      </c>
      <c r="L109" s="12">
        <v>43147</v>
      </c>
      <c r="M109" t="b">
        <v>0</v>
      </c>
      <c r="N109">
        <v>1</v>
      </c>
      <c r="O109">
        <v>1</v>
      </c>
      <c r="P109" s="19" t="s">
        <v>269</v>
      </c>
      <c r="Q109" s="19" t="s">
        <v>259</v>
      </c>
      <c r="R109" s="19" t="s">
        <v>121</v>
      </c>
      <c r="S109" s="19" t="s">
        <v>121</v>
      </c>
      <c r="T109" s="16">
        <v>47.99</v>
      </c>
      <c r="U109" s="16">
        <v>11.85</v>
      </c>
      <c r="V109" s="16">
        <v>59.84</v>
      </c>
      <c r="W109" s="19" t="s">
        <v>981</v>
      </c>
      <c r="X109" s="19" t="s">
        <v>265</v>
      </c>
      <c r="Y109" s="12">
        <v>43177</v>
      </c>
      <c r="Z109" s="12">
        <v>43171</v>
      </c>
      <c r="AA109" s="12">
        <v>43177</v>
      </c>
    </row>
    <row r="110" spans="1:27" x14ac:dyDescent="0.25">
      <c r="A110">
        <v>106</v>
      </c>
      <c r="B110" s="19" t="s">
        <v>253</v>
      </c>
      <c r="C110" s="19" t="s">
        <v>254</v>
      </c>
      <c r="D110" s="19" t="s">
        <v>255</v>
      </c>
      <c r="E110" s="19" t="s">
        <v>256</v>
      </c>
      <c r="F110" s="19" t="s">
        <v>443</v>
      </c>
      <c r="G110" s="12">
        <v>43112</v>
      </c>
      <c r="H110" s="12">
        <v>43161</v>
      </c>
      <c r="I110">
        <v>17</v>
      </c>
      <c r="J110" s="12"/>
      <c r="K110" t="b">
        <v>1</v>
      </c>
      <c r="L110" s="12"/>
      <c r="M110" t="b">
        <v>0</v>
      </c>
      <c r="N110">
        <v>0</v>
      </c>
      <c r="O110">
        <v>0</v>
      </c>
      <c r="P110" s="19" t="s">
        <v>172</v>
      </c>
      <c r="Q110" s="19" t="s">
        <v>285</v>
      </c>
      <c r="R110" s="19" t="s">
        <v>172</v>
      </c>
      <c r="S110" s="19" t="s">
        <v>129</v>
      </c>
      <c r="T110" s="16">
        <v>0</v>
      </c>
      <c r="U110" s="16">
        <v>0</v>
      </c>
      <c r="V110" s="16">
        <v>148.9</v>
      </c>
      <c r="W110" s="19" t="s">
        <v>172</v>
      </c>
      <c r="X110" s="19" t="s">
        <v>260</v>
      </c>
      <c r="Y110" s="12">
        <v>43177</v>
      </c>
      <c r="Z110" s="12">
        <v>43171</v>
      </c>
      <c r="AA110" s="12">
        <v>43177</v>
      </c>
    </row>
    <row r="111" spans="1:27" x14ac:dyDescent="0.25">
      <c r="A111">
        <v>107</v>
      </c>
      <c r="B111" s="19" t="s">
        <v>253</v>
      </c>
      <c r="C111" s="19" t="s">
        <v>254</v>
      </c>
      <c r="D111" s="19" t="s">
        <v>261</v>
      </c>
      <c r="E111" s="19" t="s">
        <v>262</v>
      </c>
      <c r="F111" s="19" t="s">
        <v>444</v>
      </c>
      <c r="G111" s="12">
        <v>43124</v>
      </c>
      <c r="H111" s="12">
        <v>43164</v>
      </c>
      <c r="I111">
        <v>14</v>
      </c>
      <c r="J111" s="12">
        <v>43130</v>
      </c>
      <c r="K111" t="b">
        <v>1</v>
      </c>
      <c r="L111" s="12">
        <v>43126</v>
      </c>
      <c r="M111" t="b">
        <v>0</v>
      </c>
      <c r="N111">
        <v>1</v>
      </c>
      <c r="O111">
        <v>1</v>
      </c>
      <c r="P111" s="19" t="s">
        <v>361</v>
      </c>
      <c r="Q111" s="19" t="s">
        <v>259</v>
      </c>
      <c r="R111" s="19" t="s">
        <v>135</v>
      </c>
      <c r="S111" s="19" t="s">
        <v>131</v>
      </c>
      <c r="T111" s="16">
        <v>69.900000000000006</v>
      </c>
      <c r="U111" s="16">
        <v>16.93</v>
      </c>
      <c r="V111" s="16">
        <v>86.83</v>
      </c>
      <c r="W111" s="19" t="s">
        <v>982</v>
      </c>
      <c r="X111" s="19" t="s">
        <v>265</v>
      </c>
      <c r="Y111" s="12">
        <v>43177</v>
      </c>
      <c r="Z111" s="12">
        <v>43171</v>
      </c>
      <c r="AA111" s="12">
        <v>43177</v>
      </c>
    </row>
    <row r="112" spans="1:27" x14ac:dyDescent="0.25">
      <c r="A112">
        <v>108</v>
      </c>
      <c r="B112" s="19" t="s">
        <v>253</v>
      </c>
      <c r="C112" s="19" t="s">
        <v>254</v>
      </c>
      <c r="D112" s="19" t="s">
        <v>261</v>
      </c>
      <c r="E112" s="19" t="s">
        <v>262</v>
      </c>
      <c r="F112" s="19" t="s">
        <v>445</v>
      </c>
      <c r="G112" s="12">
        <v>43126</v>
      </c>
      <c r="H112" s="12">
        <v>43164</v>
      </c>
      <c r="I112">
        <v>14</v>
      </c>
      <c r="J112" s="12">
        <v>43131</v>
      </c>
      <c r="K112" t="b">
        <v>1</v>
      </c>
      <c r="L112" s="12">
        <v>43129</v>
      </c>
      <c r="M112" t="b">
        <v>0</v>
      </c>
      <c r="N112">
        <v>1</v>
      </c>
      <c r="O112">
        <v>1</v>
      </c>
      <c r="P112" s="19" t="s">
        <v>446</v>
      </c>
      <c r="Q112" s="19" t="s">
        <v>259</v>
      </c>
      <c r="R112" s="19" t="s">
        <v>121</v>
      </c>
      <c r="S112" s="19" t="s">
        <v>182</v>
      </c>
      <c r="T112" s="16">
        <v>157.49</v>
      </c>
      <c r="U112" s="16">
        <v>38.65</v>
      </c>
      <c r="V112" s="16">
        <v>196.14</v>
      </c>
      <c r="W112" s="19" t="s">
        <v>983</v>
      </c>
      <c r="X112" s="19" t="s">
        <v>265</v>
      </c>
      <c r="Y112" s="12">
        <v>43177</v>
      </c>
      <c r="Z112" s="12">
        <v>43171</v>
      </c>
      <c r="AA112" s="12">
        <v>43177</v>
      </c>
    </row>
    <row r="113" spans="1:27" x14ac:dyDescent="0.25">
      <c r="A113">
        <v>109</v>
      </c>
      <c r="B113" s="19" t="s">
        <v>253</v>
      </c>
      <c r="C113" s="19" t="s">
        <v>254</v>
      </c>
      <c r="D113" s="19" t="s">
        <v>261</v>
      </c>
      <c r="E113" s="19" t="s">
        <v>262</v>
      </c>
      <c r="F113" s="19" t="s">
        <v>447</v>
      </c>
      <c r="G113" s="12">
        <v>43125</v>
      </c>
      <c r="H113" s="12">
        <v>43164</v>
      </c>
      <c r="I113">
        <v>14</v>
      </c>
      <c r="J113" s="12">
        <v>43132</v>
      </c>
      <c r="K113" t="b">
        <v>1</v>
      </c>
      <c r="L113" s="12">
        <v>43130</v>
      </c>
      <c r="M113" t="b">
        <v>0</v>
      </c>
      <c r="N113">
        <v>1</v>
      </c>
      <c r="O113">
        <v>1</v>
      </c>
      <c r="P113" s="19" t="s">
        <v>308</v>
      </c>
      <c r="Q113" s="19" t="s">
        <v>259</v>
      </c>
      <c r="R113" s="19" t="s">
        <v>121</v>
      </c>
      <c r="S113" s="19" t="s">
        <v>152</v>
      </c>
      <c r="T113" s="16">
        <v>69.900000000000006</v>
      </c>
      <c r="U113" s="16">
        <v>32.94</v>
      </c>
      <c r="V113" s="16">
        <v>102.84</v>
      </c>
      <c r="W113" s="19" t="s">
        <v>984</v>
      </c>
      <c r="X113" s="19" t="s">
        <v>265</v>
      </c>
      <c r="Y113" s="12">
        <v>43177</v>
      </c>
      <c r="Z113" s="12">
        <v>43171</v>
      </c>
      <c r="AA113" s="12">
        <v>43177</v>
      </c>
    </row>
    <row r="114" spans="1:27" x14ac:dyDescent="0.25">
      <c r="A114">
        <v>110</v>
      </c>
      <c r="B114" s="19" t="s">
        <v>253</v>
      </c>
      <c r="C114" s="19" t="s">
        <v>254</v>
      </c>
      <c r="D114" s="19" t="s">
        <v>261</v>
      </c>
      <c r="E114" s="19" t="s">
        <v>262</v>
      </c>
      <c r="F114" s="19" t="s">
        <v>448</v>
      </c>
      <c r="G114" s="12">
        <v>43126</v>
      </c>
      <c r="H114" s="12">
        <v>43164</v>
      </c>
      <c r="I114">
        <v>14</v>
      </c>
      <c r="J114" s="12">
        <v>43132</v>
      </c>
      <c r="K114" t="b">
        <v>1</v>
      </c>
      <c r="L114" s="12">
        <v>43129</v>
      </c>
      <c r="M114" t="b">
        <v>0</v>
      </c>
      <c r="N114">
        <v>1</v>
      </c>
      <c r="O114">
        <v>1</v>
      </c>
      <c r="P114" s="19" t="s">
        <v>405</v>
      </c>
      <c r="Q114" s="19" t="s">
        <v>259</v>
      </c>
      <c r="R114" s="19" t="s">
        <v>121</v>
      </c>
      <c r="S114" s="19" t="s">
        <v>182</v>
      </c>
      <c r="T114" s="16">
        <v>14.6</v>
      </c>
      <c r="U114" s="16">
        <v>34.15</v>
      </c>
      <c r="V114" s="16">
        <v>48.75</v>
      </c>
      <c r="W114" s="19" t="s">
        <v>983</v>
      </c>
      <c r="X114" s="19" t="s">
        <v>265</v>
      </c>
      <c r="Y114" s="12">
        <v>43177</v>
      </c>
      <c r="Z114" s="12">
        <v>43171</v>
      </c>
      <c r="AA114" s="12">
        <v>43177</v>
      </c>
    </row>
    <row r="115" spans="1:27" x14ac:dyDescent="0.25">
      <c r="A115">
        <v>111</v>
      </c>
      <c r="B115" s="19" t="s">
        <v>253</v>
      </c>
      <c r="C115" s="19" t="s">
        <v>254</v>
      </c>
      <c r="D115" s="19" t="s">
        <v>255</v>
      </c>
      <c r="E115" s="19" t="s">
        <v>256</v>
      </c>
      <c r="F115" s="19" t="s">
        <v>449</v>
      </c>
      <c r="G115" s="12">
        <v>43129</v>
      </c>
      <c r="H115" s="12">
        <v>43164</v>
      </c>
      <c r="I115">
        <v>14</v>
      </c>
      <c r="J115" s="12">
        <v>43133</v>
      </c>
      <c r="K115" t="b">
        <v>1</v>
      </c>
      <c r="L115" s="12"/>
      <c r="M115" t="b">
        <v>0</v>
      </c>
      <c r="N115">
        <v>3</v>
      </c>
      <c r="O115">
        <v>1</v>
      </c>
      <c r="P115" s="19" t="s">
        <v>450</v>
      </c>
      <c r="Q115" s="19" t="s">
        <v>259</v>
      </c>
      <c r="R115" s="19" t="s">
        <v>135</v>
      </c>
      <c r="S115" s="19" t="s">
        <v>122</v>
      </c>
      <c r="T115" s="16">
        <v>239.97</v>
      </c>
      <c r="U115" s="16">
        <v>59.4</v>
      </c>
      <c r="V115" s="16">
        <v>299.37</v>
      </c>
      <c r="W115" s="19" t="s">
        <v>985</v>
      </c>
      <c r="X115" s="19" t="s">
        <v>260</v>
      </c>
      <c r="Y115" s="12">
        <v>43177</v>
      </c>
      <c r="Z115" s="12">
        <v>43171</v>
      </c>
      <c r="AA115" s="12">
        <v>43177</v>
      </c>
    </row>
    <row r="116" spans="1:27" x14ac:dyDescent="0.25">
      <c r="A116">
        <v>112</v>
      </c>
      <c r="B116" s="19" t="s">
        <v>253</v>
      </c>
      <c r="C116" s="19" t="s">
        <v>254</v>
      </c>
      <c r="D116" s="19" t="s">
        <v>255</v>
      </c>
      <c r="E116" s="19" t="s">
        <v>256</v>
      </c>
      <c r="F116" s="19" t="s">
        <v>451</v>
      </c>
      <c r="G116" s="12">
        <v>43116</v>
      </c>
      <c r="H116" s="12">
        <v>43164</v>
      </c>
      <c r="I116">
        <v>14</v>
      </c>
      <c r="J116" s="12">
        <v>43136</v>
      </c>
      <c r="K116" t="b">
        <v>1</v>
      </c>
      <c r="L116" s="12"/>
      <c r="M116" t="b">
        <v>0</v>
      </c>
      <c r="N116">
        <v>1</v>
      </c>
      <c r="O116">
        <v>1</v>
      </c>
      <c r="P116" s="19" t="s">
        <v>452</v>
      </c>
      <c r="Q116" s="19" t="s">
        <v>259</v>
      </c>
      <c r="R116" s="19" t="s">
        <v>121</v>
      </c>
      <c r="S116" s="19" t="s">
        <v>154</v>
      </c>
      <c r="T116" s="16">
        <v>1599</v>
      </c>
      <c r="U116" s="16">
        <v>125.04</v>
      </c>
      <c r="V116" s="16">
        <v>1724.04</v>
      </c>
      <c r="W116" s="19" t="s">
        <v>986</v>
      </c>
      <c r="X116" s="19" t="s">
        <v>260</v>
      </c>
      <c r="Y116" s="12">
        <v>43177</v>
      </c>
      <c r="Z116" s="12">
        <v>43171</v>
      </c>
      <c r="AA116" s="12">
        <v>43177</v>
      </c>
    </row>
    <row r="117" spans="1:27" x14ac:dyDescent="0.25">
      <c r="A117">
        <v>113</v>
      </c>
      <c r="B117" s="19" t="s">
        <v>253</v>
      </c>
      <c r="C117" s="19" t="s">
        <v>254</v>
      </c>
      <c r="D117" s="19" t="s">
        <v>255</v>
      </c>
      <c r="E117" s="19" t="s">
        <v>256</v>
      </c>
      <c r="F117" s="19" t="s">
        <v>453</v>
      </c>
      <c r="G117" s="12">
        <v>43131</v>
      </c>
      <c r="H117" s="12">
        <v>43164</v>
      </c>
      <c r="I117">
        <v>14</v>
      </c>
      <c r="J117" s="12">
        <v>43137</v>
      </c>
      <c r="K117" t="b">
        <v>1</v>
      </c>
      <c r="L117" s="12"/>
      <c r="M117" t="b">
        <v>0</v>
      </c>
      <c r="N117">
        <v>1</v>
      </c>
      <c r="O117">
        <v>1</v>
      </c>
      <c r="P117" s="19" t="s">
        <v>454</v>
      </c>
      <c r="Q117" s="19" t="s">
        <v>259</v>
      </c>
      <c r="R117" s="19" t="s">
        <v>135</v>
      </c>
      <c r="S117" s="19" t="s">
        <v>122</v>
      </c>
      <c r="T117" s="16">
        <v>569</v>
      </c>
      <c r="U117" s="16">
        <v>20.420000000000002</v>
      </c>
      <c r="V117" s="16">
        <v>589.41999999999996</v>
      </c>
      <c r="W117" s="19" t="s">
        <v>987</v>
      </c>
      <c r="X117" s="19" t="s">
        <v>260</v>
      </c>
      <c r="Y117" s="12">
        <v>43177</v>
      </c>
      <c r="Z117" s="12">
        <v>43171</v>
      </c>
      <c r="AA117" s="12">
        <v>43177</v>
      </c>
    </row>
    <row r="118" spans="1:27" x14ac:dyDescent="0.25">
      <c r="A118">
        <v>114</v>
      </c>
      <c r="B118" s="19" t="s">
        <v>253</v>
      </c>
      <c r="C118" s="19" t="s">
        <v>254</v>
      </c>
      <c r="D118" s="19" t="s">
        <v>261</v>
      </c>
      <c r="E118" s="19" t="s">
        <v>262</v>
      </c>
      <c r="F118" s="19" t="s">
        <v>455</v>
      </c>
      <c r="G118" s="12">
        <v>43129</v>
      </c>
      <c r="H118" s="12">
        <v>43164</v>
      </c>
      <c r="I118">
        <v>14</v>
      </c>
      <c r="J118" s="12">
        <v>43137</v>
      </c>
      <c r="K118" t="b">
        <v>1</v>
      </c>
      <c r="L118" s="12">
        <v>43132</v>
      </c>
      <c r="M118" t="b">
        <v>0</v>
      </c>
      <c r="N118">
        <v>1</v>
      </c>
      <c r="O118">
        <v>1</v>
      </c>
      <c r="P118" s="19" t="s">
        <v>456</v>
      </c>
      <c r="Q118" s="19" t="s">
        <v>259</v>
      </c>
      <c r="R118" s="19" t="s">
        <v>121</v>
      </c>
      <c r="S118" s="19" t="s">
        <v>152</v>
      </c>
      <c r="T118" s="16">
        <v>299.89999999999998</v>
      </c>
      <c r="U118" s="16">
        <v>30.5</v>
      </c>
      <c r="V118" s="16">
        <v>330.4</v>
      </c>
      <c r="W118" s="19" t="s">
        <v>988</v>
      </c>
      <c r="X118" s="19" t="s">
        <v>265</v>
      </c>
      <c r="Y118" s="12">
        <v>43177</v>
      </c>
      <c r="Z118" s="12">
        <v>43171</v>
      </c>
      <c r="AA118" s="12">
        <v>43177</v>
      </c>
    </row>
    <row r="119" spans="1:27" x14ac:dyDescent="0.25">
      <c r="A119">
        <v>115</v>
      </c>
      <c r="B119" s="19" t="s">
        <v>253</v>
      </c>
      <c r="C119" s="19" t="s">
        <v>254</v>
      </c>
      <c r="D119" s="19" t="s">
        <v>261</v>
      </c>
      <c r="E119" s="19" t="s">
        <v>262</v>
      </c>
      <c r="F119" s="19" t="s">
        <v>457</v>
      </c>
      <c r="G119" s="12">
        <v>43131</v>
      </c>
      <c r="H119" s="12">
        <v>43164</v>
      </c>
      <c r="I119">
        <v>14</v>
      </c>
      <c r="J119" s="12">
        <v>43137</v>
      </c>
      <c r="K119" t="b">
        <v>1</v>
      </c>
      <c r="L119" s="12">
        <v>43133</v>
      </c>
      <c r="M119" t="b">
        <v>0</v>
      </c>
      <c r="N119">
        <v>1</v>
      </c>
      <c r="O119">
        <v>1</v>
      </c>
      <c r="P119" s="19" t="s">
        <v>296</v>
      </c>
      <c r="Q119" s="19" t="s">
        <v>259</v>
      </c>
      <c r="R119" s="19" t="s">
        <v>135</v>
      </c>
      <c r="S119" s="19" t="s">
        <v>122</v>
      </c>
      <c r="T119" s="16">
        <v>148</v>
      </c>
      <c r="U119" s="16">
        <v>20.28</v>
      </c>
      <c r="V119" s="16">
        <v>168.28</v>
      </c>
      <c r="W119" s="19" t="s">
        <v>989</v>
      </c>
      <c r="X119" s="19" t="s">
        <v>265</v>
      </c>
      <c r="Y119" s="12">
        <v>43177</v>
      </c>
      <c r="Z119" s="12">
        <v>43171</v>
      </c>
      <c r="AA119" s="12">
        <v>43177</v>
      </c>
    </row>
    <row r="120" spans="1:27" x14ac:dyDescent="0.25">
      <c r="A120">
        <v>116</v>
      </c>
      <c r="B120" s="19" t="s">
        <v>253</v>
      </c>
      <c r="C120" s="19" t="s">
        <v>254</v>
      </c>
      <c r="D120" s="19" t="s">
        <v>255</v>
      </c>
      <c r="E120" s="19" t="s">
        <v>256</v>
      </c>
      <c r="F120" s="19" t="s">
        <v>458</v>
      </c>
      <c r="G120" s="12">
        <v>43134</v>
      </c>
      <c r="H120" s="12">
        <v>43164</v>
      </c>
      <c r="I120">
        <v>14</v>
      </c>
      <c r="J120" s="12">
        <v>43138</v>
      </c>
      <c r="K120" t="b">
        <v>1</v>
      </c>
      <c r="L120" s="12"/>
      <c r="M120" t="b">
        <v>0</v>
      </c>
      <c r="N120">
        <v>1</v>
      </c>
      <c r="O120">
        <v>1</v>
      </c>
      <c r="P120" s="19" t="s">
        <v>459</v>
      </c>
      <c r="Q120" s="19" t="s">
        <v>259</v>
      </c>
      <c r="R120" s="19" t="s">
        <v>122</v>
      </c>
      <c r="S120" s="19" t="s">
        <v>138</v>
      </c>
      <c r="T120" s="16">
        <v>192</v>
      </c>
      <c r="U120" s="16">
        <v>17.78</v>
      </c>
      <c r="V120" s="16">
        <v>209.78</v>
      </c>
      <c r="W120" s="19" t="s">
        <v>990</v>
      </c>
      <c r="X120" s="19" t="s">
        <v>260</v>
      </c>
      <c r="Y120" s="12">
        <v>43177</v>
      </c>
      <c r="Z120" s="12">
        <v>43171</v>
      </c>
      <c r="AA120" s="12">
        <v>43177</v>
      </c>
    </row>
    <row r="121" spans="1:27" x14ac:dyDescent="0.25">
      <c r="A121">
        <v>117</v>
      </c>
      <c r="B121" s="19" t="s">
        <v>253</v>
      </c>
      <c r="C121" s="19" t="s">
        <v>254</v>
      </c>
      <c r="D121" s="19" t="s">
        <v>261</v>
      </c>
      <c r="E121" s="19" t="s">
        <v>262</v>
      </c>
      <c r="F121" s="19" t="s">
        <v>460</v>
      </c>
      <c r="G121" s="12">
        <v>43132</v>
      </c>
      <c r="H121" s="12">
        <v>43164</v>
      </c>
      <c r="I121">
        <v>14</v>
      </c>
      <c r="J121" s="12">
        <v>43139</v>
      </c>
      <c r="K121" t="b">
        <v>1</v>
      </c>
      <c r="L121" s="12">
        <v>43133</v>
      </c>
      <c r="M121" t="b">
        <v>0</v>
      </c>
      <c r="N121">
        <v>1</v>
      </c>
      <c r="O121">
        <v>1</v>
      </c>
      <c r="P121" s="19" t="s">
        <v>461</v>
      </c>
      <c r="Q121" s="19" t="s">
        <v>259</v>
      </c>
      <c r="R121" s="19" t="s">
        <v>125</v>
      </c>
      <c r="S121" s="19" t="s">
        <v>122</v>
      </c>
      <c r="T121" s="16">
        <v>199</v>
      </c>
      <c r="U121" s="16">
        <v>24.26</v>
      </c>
      <c r="V121" s="16">
        <v>223.26</v>
      </c>
      <c r="W121" s="19" t="s">
        <v>989</v>
      </c>
      <c r="X121" s="19" t="s">
        <v>265</v>
      </c>
      <c r="Y121" s="12">
        <v>43177</v>
      </c>
      <c r="Z121" s="12">
        <v>43171</v>
      </c>
      <c r="AA121" s="12">
        <v>43177</v>
      </c>
    </row>
    <row r="122" spans="1:27" x14ac:dyDescent="0.25">
      <c r="A122">
        <v>118</v>
      </c>
      <c r="B122" s="19" t="s">
        <v>253</v>
      </c>
      <c r="C122" s="19" t="s">
        <v>254</v>
      </c>
      <c r="D122" s="19" t="s">
        <v>261</v>
      </c>
      <c r="E122" s="19" t="s">
        <v>262</v>
      </c>
      <c r="F122" s="19" t="s">
        <v>462</v>
      </c>
      <c r="G122" s="12">
        <v>43136</v>
      </c>
      <c r="H122" s="12">
        <v>43164</v>
      </c>
      <c r="I122">
        <v>14</v>
      </c>
      <c r="J122" s="12">
        <v>43140</v>
      </c>
      <c r="K122" t="b">
        <v>1</v>
      </c>
      <c r="L122" s="12">
        <v>43150</v>
      </c>
      <c r="M122" t="b">
        <v>0</v>
      </c>
      <c r="N122">
        <v>1</v>
      </c>
      <c r="O122">
        <v>1</v>
      </c>
      <c r="P122" s="19" t="s">
        <v>463</v>
      </c>
      <c r="Q122" s="19" t="s">
        <v>259</v>
      </c>
      <c r="R122" s="19" t="s">
        <v>121</v>
      </c>
      <c r="S122" s="19" t="s">
        <v>122</v>
      </c>
      <c r="T122" s="16">
        <v>1399</v>
      </c>
      <c r="U122" s="16">
        <v>24.54</v>
      </c>
      <c r="V122" s="16">
        <v>1423.54</v>
      </c>
      <c r="W122" s="19" t="s">
        <v>991</v>
      </c>
      <c r="X122" s="19" t="s">
        <v>265</v>
      </c>
      <c r="Y122" s="12">
        <v>43177</v>
      </c>
      <c r="Z122" s="12">
        <v>43171</v>
      </c>
      <c r="AA122" s="12">
        <v>43177</v>
      </c>
    </row>
    <row r="123" spans="1:27" x14ac:dyDescent="0.25">
      <c r="A123">
        <v>119</v>
      </c>
      <c r="B123" s="19" t="s">
        <v>253</v>
      </c>
      <c r="C123" s="19" t="s">
        <v>254</v>
      </c>
      <c r="D123" s="19" t="s">
        <v>261</v>
      </c>
      <c r="E123" s="19" t="s">
        <v>262</v>
      </c>
      <c r="F123" s="19" t="s">
        <v>464</v>
      </c>
      <c r="G123" s="12">
        <v>43139</v>
      </c>
      <c r="H123" s="12">
        <v>43164</v>
      </c>
      <c r="I123">
        <v>14</v>
      </c>
      <c r="J123" s="12">
        <v>43145</v>
      </c>
      <c r="K123" t="b">
        <v>1</v>
      </c>
      <c r="L123" s="12">
        <v>43140</v>
      </c>
      <c r="M123" t="b">
        <v>0</v>
      </c>
      <c r="N123">
        <v>1</v>
      </c>
      <c r="O123">
        <v>1</v>
      </c>
      <c r="P123" s="19" t="s">
        <v>465</v>
      </c>
      <c r="Q123" s="19" t="s">
        <v>259</v>
      </c>
      <c r="R123" s="19" t="s">
        <v>121</v>
      </c>
      <c r="S123" s="19" t="s">
        <v>122</v>
      </c>
      <c r="T123" s="16">
        <v>102.9</v>
      </c>
      <c r="U123" s="16">
        <v>17.97</v>
      </c>
      <c r="V123" s="16">
        <v>120.87</v>
      </c>
      <c r="W123" s="19" t="s">
        <v>992</v>
      </c>
      <c r="X123" s="19" t="s">
        <v>265</v>
      </c>
      <c r="Y123" s="12">
        <v>43177</v>
      </c>
      <c r="Z123" s="12">
        <v>43171</v>
      </c>
      <c r="AA123" s="12">
        <v>43177</v>
      </c>
    </row>
    <row r="124" spans="1:27" x14ac:dyDescent="0.25">
      <c r="A124">
        <v>120</v>
      </c>
      <c r="B124" s="19" t="s">
        <v>253</v>
      </c>
      <c r="C124" s="19" t="s">
        <v>254</v>
      </c>
      <c r="D124" s="19" t="s">
        <v>261</v>
      </c>
      <c r="E124" s="19" t="s">
        <v>262</v>
      </c>
      <c r="F124" s="19" t="s">
        <v>466</v>
      </c>
      <c r="G124" s="12">
        <v>43142</v>
      </c>
      <c r="H124" s="12">
        <v>43164</v>
      </c>
      <c r="I124">
        <v>14</v>
      </c>
      <c r="J124" s="12">
        <v>43158</v>
      </c>
      <c r="K124" t="b">
        <v>1</v>
      </c>
      <c r="L124" s="12">
        <v>43152</v>
      </c>
      <c r="M124" t="b">
        <v>0</v>
      </c>
      <c r="N124">
        <v>1</v>
      </c>
      <c r="O124">
        <v>1</v>
      </c>
      <c r="P124" s="19" t="s">
        <v>467</v>
      </c>
      <c r="Q124" s="19" t="s">
        <v>259</v>
      </c>
      <c r="R124" s="19" t="s">
        <v>121</v>
      </c>
      <c r="S124" s="19" t="s">
        <v>121</v>
      </c>
      <c r="T124" s="16">
        <v>79.989999999999995</v>
      </c>
      <c r="U124" s="16">
        <v>16.260000000000002</v>
      </c>
      <c r="V124" s="16">
        <v>96.25</v>
      </c>
      <c r="W124" s="19" t="s">
        <v>993</v>
      </c>
      <c r="X124" s="19" t="s">
        <v>265</v>
      </c>
      <c r="Y124" s="12">
        <v>43177</v>
      </c>
      <c r="Z124" s="12">
        <v>43171</v>
      </c>
      <c r="AA124" s="12">
        <v>43177</v>
      </c>
    </row>
    <row r="125" spans="1:27" x14ac:dyDescent="0.25">
      <c r="A125">
        <v>121</v>
      </c>
      <c r="B125" s="19" t="s">
        <v>253</v>
      </c>
      <c r="C125" s="19" t="s">
        <v>254</v>
      </c>
      <c r="D125" s="19" t="s">
        <v>255</v>
      </c>
      <c r="E125" s="19" t="s">
        <v>256</v>
      </c>
      <c r="F125" s="19" t="s">
        <v>468</v>
      </c>
      <c r="G125" s="12">
        <v>43140</v>
      </c>
      <c r="H125" s="12">
        <v>43164</v>
      </c>
      <c r="I125">
        <v>14</v>
      </c>
      <c r="J125" s="12"/>
      <c r="K125" t="b">
        <v>1</v>
      </c>
      <c r="L125" s="12"/>
      <c r="M125" t="b">
        <v>0</v>
      </c>
      <c r="N125">
        <v>0</v>
      </c>
      <c r="O125">
        <v>0</v>
      </c>
      <c r="P125" s="19" t="s">
        <v>172</v>
      </c>
      <c r="Q125" s="19" t="s">
        <v>285</v>
      </c>
      <c r="R125" s="19" t="s">
        <v>172</v>
      </c>
      <c r="S125" s="19" t="s">
        <v>122</v>
      </c>
      <c r="T125" s="16">
        <v>0</v>
      </c>
      <c r="U125" s="16">
        <v>0</v>
      </c>
      <c r="V125" s="16">
        <v>77.19</v>
      </c>
      <c r="W125" s="19" t="s">
        <v>172</v>
      </c>
      <c r="X125" s="19" t="s">
        <v>260</v>
      </c>
      <c r="Y125" s="12">
        <v>43177</v>
      </c>
      <c r="Z125" s="12">
        <v>43171</v>
      </c>
      <c r="AA125" s="12">
        <v>43177</v>
      </c>
    </row>
    <row r="126" spans="1:27" x14ac:dyDescent="0.25">
      <c r="A126">
        <v>122</v>
      </c>
      <c r="B126" s="19" t="s">
        <v>253</v>
      </c>
      <c r="C126" s="19" t="s">
        <v>254</v>
      </c>
      <c r="D126" s="19" t="s">
        <v>255</v>
      </c>
      <c r="E126" s="19" t="s">
        <v>256</v>
      </c>
      <c r="F126" s="19" t="s">
        <v>469</v>
      </c>
      <c r="G126" s="12">
        <v>43138</v>
      </c>
      <c r="H126" s="12">
        <v>43164</v>
      </c>
      <c r="I126">
        <v>14</v>
      </c>
      <c r="J126" s="12"/>
      <c r="K126" t="b">
        <v>1</v>
      </c>
      <c r="L126" s="12"/>
      <c r="M126" t="b">
        <v>0</v>
      </c>
      <c r="N126">
        <v>0</v>
      </c>
      <c r="O126">
        <v>0</v>
      </c>
      <c r="P126" s="19" t="s">
        <v>172</v>
      </c>
      <c r="Q126" s="19" t="s">
        <v>285</v>
      </c>
      <c r="R126" s="19" t="s">
        <v>172</v>
      </c>
      <c r="S126" s="19" t="s">
        <v>135</v>
      </c>
      <c r="T126" s="16">
        <v>0</v>
      </c>
      <c r="U126" s="16">
        <v>0</v>
      </c>
      <c r="V126" s="16">
        <v>102.66</v>
      </c>
      <c r="W126" s="19" t="s">
        <v>172</v>
      </c>
      <c r="X126" s="19" t="s">
        <v>260</v>
      </c>
      <c r="Y126" s="12">
        <v>43177</v>
      </c>
      <c r="Z126" s="12">
        <v>43171</v>
      </c>
      <c r="AA126" s="12">
        <v>43177</v>
      </c>
    </row>
    <row r="127" spans="1:27" x14ac:dyDescent="0.25">
      <c r="A127">
        <v>123</v>
      </c>
      <c r="B127" s="19" t="s">
        <v>253</v>
      </c>
      <c r="C127" s="19" t="s">
        <v>254</v>
      </c>
      <c r="D127" s="19" t="s">
        <v>255</v>
      </c>
      <c r="E127" s="19" t="s">
        <v>256</v>
      </c>
      <c r="F127" s="19" t="s">
        <v>470</v>
      </c>
      <c r="G127" s="12">
        <v>43140</v>
      </c>
      <c r="H127" s="12">
        <v>43164</v>
      </c>
      <c r="I127">
        <v>14</v>
      </c>
      <c r="J127" s="12"/>
      <c r="K127" t="b">
        <v>1</v>
      </c>
      <c r="L127" s="12"/>
      <c r="M127" t="b">
        <v>0</v>
      </c>
      <c r="N127">
        <v>0</v>
      </c>
      <c r="O127">
        <v>0</v>
      </c>
      <c r="P127" s="19" t="s">
        <v>172</v>
      </c>
      <c r="Q127" s="19" t="s">
        <v>285</v>
      </c>
      <c r="R127" s="19" t="s">
        <v>172</v>
      </c>
      <c r="S127" s="19" t="s">
        <v>122</v>
      </c>
      <c r="T127" s="16">
        <v>0</v>
      </c>
      <c r="U127" s="16">
        <v>0</v>
      </c>
      <c r="V127" s="16">
        <v>95.32</v>
      </c>
      <c r="W127" s="19" t="s">
        <v>172</v>
      </c>
      <c r="X127" s="19" t="s">
        <v>260</v>
      </c>
      <c r="Y127" s="12">
        <v>43177</v>
      </c>
      <c r="Z127" s="12">
        <v>43171</v>
      </c>
      <c r="AA127" s="12">
        <v>43177</v>
      </c>
    </row>
    <row r="128" spans="1:27" x14ac:dyDescent="0.25">
      <c r="A128">
        <v>124</v>
      </c>
      <c r="B128" s="19" t="s">
        <v>253</v>
      </c>
      <c r="C128" s="19" t="s">
        <v>254</v>
      </c>
      <c r="D128" s="19" t="s">
        <v>261</v>
      </c>
      <c r="E128" s="19" t="s">
        <v>262</v>
      </c>
      <c r="F128" s="19" t="s">
        <v>471</v>
      </c>
      <c r="G128" s="12">
        <v>43124</v>
      </c>
      <c r="H128" s="12">
        <v>43165</v>
      </c>
      <c r="I128">
        <v>13</v>
      </c>
      <c r="J128" s="12">
        <v>43130</v>
      </c>
      <c r="K128" t="b">
        <v>1</v>
      </c>
      <c r="L128" s="12">
        <v>43125</v>
      </c>
      <c r="M128" t="b">
        <v>0</v>
      </c>
      <c r="N128">
        <v>1</v>
      </c>
      <c r="O128">
        <v>1</v>
      </c>
      <c r="P128" s="19" t="s">
        <v>472</v>
      </c>
      <c r="Q128" s="19" t="s">
        <v>259</v>
      </c>
      <c r="R128" s="19" t="s">
        <v>121</v>
      </c>
      <c r="S128" s="19" t="s">
        <v>156</v>
      </c>
      <c r="T128" s="16">
        <v>126.69</v>
      </c>
      <c r="U128" s="16">
        <v>39.880000000000003</v>
      </c>
      <c r="V128" s="16">
        <v>166.57</v>
      </c>
      <c r="W128" s="19" t="s">
        <v>994</v>
      </c>
      <c r="X128" s="19" t="s">
        <v>265</v>
      </c>
      <c r="Y128" s="12">
        <v>43177</v>
      </c>
      <c r="Z128" s="12">
        <v>43171</v>
      </c>
      <c r="AA128" s="12">
        <v>43177</v>
      </c>
    </row>
    <row r="129" spans="1:27" x14ac:dyDescent="0.25">
      <c r="A129">
        <v>125</v>
      </c>
      <c r="B129" s="19" t="s">
        <v>253</v>
      </c>
      <c r="C129" s="19" t="s">
        <v>254</v>
      </c>
      <c r="D129" s="19" t="s">
        <v>255</v>
      </c>
      <c r="E129" s="19" t="s">
        <v>256</v>
      </c>
      <c r="F129" s="19" t="s">
        <v>473</v>
      </c>
      <c r="G129" s="12">
        <v>43130</v>
      </c>
      <c r="H129" s="12">
        <v>43165</v>
      </c>
      <c r="I129">
        <v>13</v>
      </c>
      <c r="J129" s="12">
        <v>43136</v>
      </c>
      <c r="K129" t="b">
        <v>1</v>
      </c>
      <c r="L129" s="12"/>
      <c r="M129" t="b">
        <v>0</v>
      </c>
      <c r="N129">
        <v>1</v>
      </c>
      <c r="O129">
        <v>1</v>
      </c>
      <c r="P129" s="19" t="s">
        <v>474</v>
      </c>
      <c r="Q129" s="19" t="s">
        <v>259</v>
      </c>
      <c r="R129" s="19" t="s">
        <v>125</v>
      </c>
      <c r="S129" s="19" t="s">
        <v>131</v>
      </c>
      <c r="T129" s="16">
        <v>199</v>
      </c>
      <c r="U129" s="16">
        <v>83.25</v>
      </c>
      <c r="V129" s="16">
        <v>282.25</v>
      </c>
      <c r="W129" s="19" t="s">
        <v>995</v>
      </c>
      <c r="X129" s="19" t="s">
        <v>260</v>
      </c>
      <c r="Y129" s="12">
        <v>43177</v>
      </c>
      <c r="Z129" s="12">
        <v>43171</v>
      </c>
      <c r="AA129" s="12">
        <v>43177</v>
      </c>
    </row>
    <row r="130" spans="1:27" x14ac:dyDescent="0.25">
      <c r="A130">
        <v>126</v>
      </c>
      <c r="B130" s="19" t="s">
        <v>253</v>
      </c>
      <c r="C130" s="19" t="s">
        <v>254</v>
      </c>
      <c r="D130" s="19" t="s">
        <v>261</v>
      </c>
      <c r="E130" s="19" t="s">
        <v>262</v>
      </c>
      <c r="F130" s="19" t="s">
        <v>475</v>
      </c>
      <c r="G130" s="12">
        <v>43123</v>
      </c>
      <c r="H130" s="12">
        <v>43165</v>
      </c>
      <c r="I130">
        <v>13</v>
      </c>
      <c r="J130" s="12">
        <v>43137</v>
      </c>
      <c r="K130" t="b">
        <v>1</v>
      </c>
      <c r="L130" s="12">
        <v>43138</v>
      </c>
      <c r="M130" t="b">
        <v>0</v>
      </c>
      <c r="N130">
        <v>1</v>
      </c>
      <c r="O130">
        <v>1</v>
      </c>
      <c r="P130" s="19" t="s">
        <v>476</v>
      </c>
      <c r="Q130" s="19" t="s">
        <v>259</v>
      </c>
      <c r="R130" s="19" t="s">
        <v>121</v>
      </c>
      <c r="S130" s="19" t="s">
        <v>122</v>
      </c>
      <c r="T130" s="16">
        <v>136.99</v>
      </c>
      <c r="U130" s="16">
        <v>62.78</v>
      </c>
      <c r="V130" s="16">
        <v>199.77</v>
      </c>
      <c r="W130" s="19" t="s">
        <v>996</v>
      </c>
      <c r="X130" s="19" t="s">
        <v>265</v>
      </c>
      <c r="Y130" s="12">
        <v>43177</v>
      </c>
      <c r="Z130" s="12">
        <v>43171</v>
      </c>
      <c r="AA130" s="12">
        <v>43177</v>
      </c>
    </row>
    <row r="131" spans="1:27" x14ac:dyDescent="0.25">
      <c r="A131">
        <v>127</v>
      </c>
      <c r="B131" s="19" t="s">
        <v>253</v>
      </c>
      <c r="C131" s="19" t="s">
        <v>254</v>
      </c>
      <c r="D131" s="19" t="s">
        <v>261</v>
      </c>
      <c r="E131" s="19" t="s">
        <v>262</v>
      </c>
      <c r="F131" s="19" t="s">
        <v>477</v>
      </c>
      <c r="G131" s="12">
        <v>43133</v>
      </c>
      <c r="H131" s="12">
        <v>43165</v>
      </c>
      <c r="I131">
        <v>13</v>
      </c>
      <c r="J131" s="12">
        <v>43139</v>
      </c>
      <c r="K131" t="b">
        <v>1</v>
      </c>
      <c r="L131" s="12">
        <v>43139</v>
      </c>
      <c r="M131" t="b">
        <v>0</v>
      </c>
      <c r="N131">
        <v>1</v>
      </c>
      <c r="O131">
        <v>1</v>
      </c>
      <c r="P131" s="19" t="s">
        <v>478</v>
      </c>
      <c r="Q131" s="19" t="s">
        <v>259</v>
      </c>
      <c r="R131" s="19" t="s">
        <v>121</v>
      </c>
      <c r="S131" s="19" t="s">
        <v>122</v>
      </c>
      <c r="T131" s="16">
        <v>49.9</v>
      </c>
      <c r="U131" s="16">
        <v>17.600000000000001</v>
      </c>
      <c r="V131" s="16">
        <v>67.5</v>
      </c>
      <c r="W131" s="19" t="s">
        <v>997</v>
      </c>
      <c r="X131" s="19" t="s">
        <v>265</v>
      </c>
      <c r="Y131" s="12">
        <v>43177</v>
      </c>
      <c r="Z131" s="12">
        <v>43171</v>
      </c>
      <c r="AA131" s="12">
        <v>43177</v>
      </c>
    </row>
    <row r="132" spans="1:27" x14ac:dyDescent="0.25">
      <c r="A132">
        <v>128</v>
      </c>
      <c r="B132" s="19" t="s">
        <v>253</v>
      </c>
      <c r="C132" s="19" t="s">
        <v>254</v>
      </c>
      <c r="D132" s="19" t="s">
        <v>261</v>
      </c>
      <c r="E132" s="19" t="s">
        <v>262</v>
      </c>
      <c r="F132" s="19" t="s">
        <v>479</v>
      </c>
      <c r="G132" s="12">
        <v>43120</v>
      </c>
      <c r="H132" s="12">
        <v>43165</v>
      </c>
      <c r="I132">
        <v>13</v>
      </c>
      <c r="J132" s="12">
        <v>43140</v>
      </c>
      <c r="K132" t="b">
        <v>1</v>
      </c>
      <c r="L132" s="12">
        <v>43148</v>
      </c>
      <c r="M132" t="b">
        <v>0</v>
      </c>
      <c r="N132">
        <v>1</v>
      </c>
      <c r="O132">
        <v>1</v>
      </c>
      <c r="P132" s="19" t="s">
        <v>476</v>
      </c>
      <c r="Q132" s="19" t="s">
        <v>259</v>
      </c>
      <c r="R132" s="19" t="s">
        <v>121</v>
      </c>
      <c r="S132" s="19" t="s">
        <v>133</v>
      </c>
      <c r="T132" s="16">
        <v>79.989999999999995</v>
      </c>
      <c r="U132" s="16">
        <v>22.88</v>
      </c>
      <c r="V132" s="16">
        <v>102.87</v>
      </c>
      <c r="W132" s="19" t="s">
        <v>998</v>
      </c>
      <c r="X132" s="19" t="s">
        <v>265</v>
      </c>
      <c r="Y132" s="12">
        <v>43177</v>
      </c>
      <c r="Z132" s="12">
        <v>43171</v>
      </c>
      <c r="AA132" s="12">
        <v>43177</v>
      </c>
    </row>
    <row r="133" spans="1:27" x14ac:dyDescent="0.25">
      <c r="A133">
        <v>129</v>
      </c>
      <c r="B133" s="19" t="s">
        <v>253</v>
      </c>
      <c r="C133" s="19" t="s">
        <v>254</v>
      </c>
      <c r="D133" s="19" t="s">
        <v>261</v>
      </c>
      <c r="E133" s="19" t="s">
        <v>262</v>
      </c>
      <c r="F133" s="19" t="s">
        <v>480</v>
      </c>
      <c r="G133" s="12">
        <v>43136</v>
      </c>
      <c r="H133" s="12">
        <v>43165</v>
      </c>
      <c r="I133">
        <v>13</v>
      </c>
      <c r="J133" s="12">
        <v>43144</v>
      </c>
      <c r="K133" t="b">
        <v>1</v>
      </c>
      <c r="L133" s="12">
        <v>43157</v>
      </c>
      <c r="M133" t="b">
        <v>0</v>
      </c>
      <c r="N133">
        <v>1</v>
      </c>
      <c r="O133">
        <v>1</v>
      </c>
      <c r="P133" s="19" t="s">
        <v>481</v>
      </c>
      <c r="Q133" s="19" t="s">
        <v>259</v>
      </c>
      <c r="R133" s="19" t="s">
        <v>121</v>
      </c>
      <c r="S133" s="19" t="s">
        <v>131</v>
      </c>
      <c r="T133" s="16">
        <v>87.85</v>
      </c>
      <c r="U133" s="16">
        <v>17.86</v>
      </c>
      <c r="V133" s="16">
        <v>105.71</v>
      </c>
      <c r="W133" s="19" t="s">
        <v>999</v>
      </c>
      <c r="X133" s="19" t="s">
        <v>265</v>
      </c>
      <c r="Y133" s="12">
        <v>43177</v>
      </c>
      <c r="Z133" s="12">
        <v>43171</v>
      </c>
      <c r="AA133" s="12">
        <v>43177</v>
      </c>
    </row>
    <row r="134" spans="1:27" x14ac:dyDescent="0.25">
      <c r="A134">
        <v>130</v>
      </c>
      <c r="B134" s="19" t="s">
        <v>253</v>
      </c>
      <c r="C134" s="19" t="s">
        <v>254</v>
      </c>
      <c r="D134" s="19" t="s">
        <v>261</v>
      </c>
      <c r="E134" s="19" t="s">
        <v>262</v>
      </c>
      <c r="F134" s="19" t="s">
        <v>482</v>
      </c>
      <c r="G134" s="12">
        <v>43140</v>
      </c>
      <c r="H134" s="12">
        <v>43165</v>
      </c>
      <c r="I134">
        <v>13</v>
      </c>
      <c r="J134" s="12">
        <v>43146</v>
      </c>
      <c r="K134" t="b">
        <v>1</v>
      </c>
      <c r="L134" s="12">
        <v>43147</v>
      </c>
      <c r="M134" t="b">
        <v>0</v>
      </c>
      <c r="N134">
        <v>1</v>
      </c>
      <c r="O134">
        <v>1</v>
      </c>
      <c r="P134" s="19" t="s">
        <v>483</v>
      </c>
      <c r="Q134" s="19" t="s">
        <v>259</v>
      </c>
      <c r="R134" s="19" t="s">
        <v>121</v>
      </c>
      <c r="S134" s="19" t="s">
        <v>122</v>
      </c>
      <c r="T134" s="16">
        <v>145</v>
      </c>
      <c r="U134" s="16">
        <v>21.5</v>
      </c>
      <c r="V134" s="16">
        <v>166.5</v>
      </c>
      <c r="W134" s="19" t="s">
        <v>1000</v>
      </c>
      <c r="X134" s="19" t="s">
        <v>265</v>
      </c>
      <c r="Y134" s="12">
        <v>43177</v>
      </c>
      <c r="Z134" s="12">
        <v>43171</v>
      </c>
      <c r="AA134" s="12">
        <v>43177</v>
      </c>
    </row>
    <row r="135" spans="1:27" x14ac:dyDescent="0.25">
      <c r="A135">
        <v>131</v>
      </c>
      <c r="B135" s="19" t="s">
        <v>253</v>
      </c>
      <c r="C135" s="19" t="s">
        <v>254</v>
      </c>
      <c r="D135" s="19" t="s">
        <v>261</v>
      </c>
      <c r="E135" s="19" t="s">
        <v>262</v>
      </c>
      <c r="F135" s="19" t="s">
        <v>484</v>
      </c>
      <c r="G135" s="12">
        <v>43142</v>
      </c>
      <c r="H135" s="12">
        <v>43165</v>
      </c>
      <c r="I135">
        <v>13</v>
      </c>
      <c r="J135" s="12">
        <v>43146</v>
      </c>
      <c r="K135" t="b">
        <v>1</v>
      </c>
      <c r="L135" s="12">
        <v>43145</v>
      </c>
      <c r="M135" t="b">
        <v>0</v>
      </c>
      <c r="N135">
        <v>2</v>
      </c>
      <c r="O135">
        <v>1</v>
      </c>
      <c r="P135" s="19" t="s">
        <v>485</v>
      </c>
      <c r="Q135" s="19" t="s">
        <v>259</v>
      </c>
      <c r="R135" s="19" t="s">
        <v>121</v>
      </c>
      <c r="S135" s="19" t="s">
        <v>122</v>
      </c>
      <c r="T135" s="16">
        <v>125.98</v>
      </c>
      <c r="U135" s="16">
        <v>33.380000000000003</v>
      </c>
      <c r="V135" s="16">
        <v>159.36000000000001</v>
      </c>
      <c r="W135" s="19" t="s">
        <v>1001</v>
      </c>
      <c r="X135" s="19" t="s">
        <v>265</v>
      </c>
      <c r="Y135" s="12">
        <v>43177</v>
      </c>
      <c r="Z135" s="12">
        <v>43171</v>
      </c>
      <c r="AA135" s="12">
        <v>43177</v>
      </c>
    </row>
    <row r="136" spans="1:27" x14ac:dyDescent="0.25">
      <c r="A136">
        <v>132</v>
      </c>
      <c r="B136" s="19" t="s">
        <v>253</v>
      </c>
      <c r="C136" s="19" t="s">
        <v>254</v>
      </c>
      <c r="D136" s="19" t="s">
        <v>255</v>
      </c>
      <c r="E136" s="19" t="s">
        <v>256</v>
      </c>
      <c r="F136" s="19" t="s">
        <v>486</v>
      </c>
      <c r="G136" s="12">
        <v>43142</v>
      </c>
      <c r="H136" s="12">
        <v>43165</v>
      </c>
      <c r="I136">
        <v>13</v>
      </c>
      <c r="J136" s="12">
        <v>43146</v>
      </c>
      <c r="K136" t="b">
        <v>1</v>
      </c>
      <c r="L136" s="12"/>
      <c r="M136" t="b">
        <v>0</v>
      </c>
      <c r="N136">
        <v>1</v>
      </c>
      <c r="O136">
        <v>1</v>
      </c>
      <c r="P136" s="19" t="s">
        <v>487</v>
      </c>
      <c r="Q136" s="19" t="s">
        <v>259</v>
      </c>
      <c r="R136" s="19" t="s">
        <v>121</v>
      </c>
      <c r="S136" s="19" t="s">
        <v>121</v>
      </c>
      <c r="T136" s="16">
        <v>84.9</v>
      </c>
      <c r="U136" s="16">
        <v>13.61</v>
      </c>
      <c r="V136" s="16">
        <v>98.51</v>
      </c>
      <c r="W136" s="19" t="s">
        <v>1002</v>
      </c>
      <c r="X136" s="19" t="s">
        <v>260</v>
      </c>
      <c r="Y136" s="12">
        <v>43177</v>
      </c>
      <c r="Z136" s="12">
        <v>43171</v>
      </c>
      <c r="AA136" s="12">
        <v>43177</v>
      </c>
    </row>
    <row r="137" spans="1:27" x14ac:dyDescent="0.25">
      <c r="A137">
        <v>133</v>
      </c>
      <c r="B137" s="19" t="s">
        <v>253</v>
      </c>
      <c r="C137" s="19" t="s">
        <v>254</v>
      </c>
      <c r="D137" s="19" t="s">
        <v>261</v>
      </c>
      <c r="E137" s="19" t="s">
        <v>262</v>
      </c>
      <c r="F137" s="19" t="s">
        <v>488</v>
      </c>
      <c r="G137" s="12">
        <v>43141</v>
      </c>
      <c r="H137" s="12">
        <v>43165</v>
      </c>
      <c r="I137">
        <v>13</v>
      </c>
      <c r="J137" s="12">
        <v>43146</v>
      </c>
      <c r="K137" t="b">
        <v>1</v>
      </c>
      <c r="L137" s="12">
        <v>43146</v>
      </c>
      <c r="M137" t="b">
        <v>0</v>
      </c>
      <c r="N137">
        <v>1</v>
      </c>
      <c r="O137">
        <v>1</v>
      </c>
      <c r="P137" s="19" t="s">
        <v>489</v>
      </c>
      <c r="Q137" s="19" t="s">
        <v>259</v>
      </c>
      <c r="R137" s="19" t="s">
        <v>121</v>
      </c>
      <c r="S137" s="19" t="s">
        <v>122</v>
      </c>
      <c r="T137" s="16">
        <v>71.599999999999994</v>
      </c>
      <c r="U137" s="16">
        <v>15.26</v>
      </c>
      <c r="V137" s="16">
        <v>86.86</v>
      </c>
      <c r="W137" s="19" t="s">
        <v>1003</v>
      </c>
      <c r="X137" s="19" t="s">
        <v>265</v>
      </c>
      <c r="Y137" s="12">
        <v>43177</v>
      </c>
      <c r="Z137" s="12">
        <v>43171</v>
      </c>
      <c r="AA137" s="12">
        <v>43177</v>
      </c>
    </row>
    <row r="138" spans="1:27" x14ac:dyDescent="0.25">
      <c r="A138">
        <v>134</v>
      </c>
      <c r="B138" s="19" t="s">
        <v>253</v>
      </c>
      <c r="C138" s="19" t="s">
        <v>254</v>
      </c>
      <c r="D138" s="19" t="s">
        <v>261</v>
      </c>
      <c r="E138" s="19" t="s">
        <v>262</v>
      </c>
      <c r="F138" s="19" t="s">
        <v>490</v>
      </c>
      <c r="G138" s="12">
        <v>43140</v>
      </c>
      <c r="H138" s="12">
        <v>43165</v>
      </c>
      <c r="I138">
        <v>13</v>
      </c>
      <c r="J138" s="12">
        <v>43146</v>
      </c>
      <c r="K138" t="b">
        <v>1</v>
      </c>
      <c r="L138" s="12">
        <v>43150</v>
      </c>
      <c r="M138" t="b">
        <v>0</v>
      </c>
      <c r="N138">
        <v>1</v>
      </c>
      <c r="O138">
        <v>1</v>
      </c>
      <c r="P138" s="19" t="s">
        <v>491</v>
      </c>
      <c r="Q138" s="19" t="s">
        <v>259</v>
      </c>
      <c r="R138" s="19" t="s">
        <v>121</v>
      </c>
      <c r="S138" s="19" t="s">
        <v>131</v>
      </c>
      <c r="T138" s="16">
        <v>38</v>
      </c>
      <c r="U138" s="16">
        <v>15.1</v>
      </c>
      <c r="V138" s="16">
        <v>53.1</v>
      </c>
      <c r="W138" s="19" t="s">
        <v>1004</v>
      </c>
      <c r="X138" s="19" t="s">
        <v>265</v>
      </c>
      <c r="Y138" s="12">
        <v>43177</v>
      </c>
      <c r="Z138" s="12">
        <v>43171</v>
      </c>
      <c r="AA138" s="12">
        <v>43177</v>
      </c>
    </row>
    <row r="139" spans="1:27" x14ac:dyDescent="0.25">
      <c r="A139">
        <v>135</v>
      </c>
      <c r="B139" s="19" t="s">
        <v>253</v>
      </c>
      <c r="C139" s="19" t="s">
        <v>254</v>
      </c>
      <c r="D139" s="19" t="s">
        <v>261</v>
      </c>
      <c r="E139" s="19" t="s">
        <v>262</v>
      </c>
      <c r="F139" s="19" t="s">
        <v>492</v>
      </c>
      <c r="G139" s="12">
        <v>43143</v>
      </c>
      <c r="H139" s="12">
        <v>43165</v>
      </c>
      <c r="I139">
        <v>13</v>
      </c>
      <c r="J139" s="12">
        <v>43147</v>
      </c>
      <c r="K139" t="b">
        <v>1</v>
      </c>
      <c r="L139" s="12">
        <v>43145</v>
      </c>
      <c r="M139" t="b">
        <v>0</v>
      </c>
      <c r="N139">
        <v>1</v>
      </c>
      <c r="O139">
        <v>1</v>
      </c>
      <c r="P139" s="19" t="s">
        <v>371</v>
      </c>
      <c r="Q139" s="19" t="s">
        <v>259</v>
      </c>
      <c r="R139" s="19" t="s">
        <v>121</v>
      </c>
      <c r="S139" s="19" t="s">
        <v>122</v>
      </c>
      <c r="T139" s="16">
        <v>49</v>
      </c>
      <c r="U139" s="16">
        <v>14.1</v>
      </c>
      <c r="V139" s="16">
        <v>63.1</v>
      </c>
      <c r="W139" s="19" t="s">
        <v>1001</v>
      </c>
      <c r="X139" s="19" t="s">
        <v>265</v>
      </c>
      <c r="Y139" s="12">
        <v>43177</v>
      </c>
      <c r="Z139" s="12">
        <v>43171</v>
      </c>
      <c r="AA139" s="12">
        <v>43177</v>
      </c>
    </row>
    <row r="140" spans="1:27" x14ac:dyDescent="0.25">
      <c r="A140">
        <v>136</v>
      </c>
      <c r="B140" s="19" t="s">
        <v>253</v>
      </c>
      <c r="C140" s="19" t="s">
        <v>254</v>
      </c>
      <c r="D140" s="19" t="s">
        <v>261</v>
      </c>
      <c r="E140" s="19" t="s">
        <v>262</v>
      </c>
      <c r="F140" s="19" t="s">
        <v>493</v>
      </c>
      <c r="G140" s="12">
        <v>43143</v>
      </c>
      <c r="H140" s="12">
        <v>43165</v>
      </c>
      <c r="I140">
        <v>13</v>
      </c>
      <c r="J140" s="12">
        <v>43147</v>
      </c>
      <c r="K140" t="b">
        <v>1</v>
      </c>
      <c r="L140" s="12">
        <v>43145</v>
      </c>
      <c r="M140" t="b">
        <v>0</v>
      </c>
      <c r="N140">
        <v>1</v>
      </c>
      <c r="O140">
        <v>1</v>
      </c>
      <c r="P140" s="19" t="s">
        <v>354</v>
      </c>
      <c r="Q140" s="19" t="s">
        <v>259</v>
      </c>
      <c r="R140" s="19" t="s">
        <v>121</v>
      </c>
      <c r="S140" s="19" t="s">
        <v>121</v>
      </c>
      <c r="T140" s="16">
        <v>29.99</v>
      </c>
      <c r="U140" s="16">
        <v>11.85</v>
      </c>
      <c r="V140" s="16">
        <v>41.84</v>
      </c>
      <c r="W140" s="19" t="s">
        <v>1001</v>
      </c>
      <c r="X140" s="19" t="s">
        <v>265</v>
      </c>
      <c r="Y140" s="12">
        <v>43177</v>
      </c>
      <c r="Z140" s="12">
        <v>43171</v>
      </c>
      <c r="AA140" s="12">
        <v>43177</v>
      </c>
    </row>
    <row r="141" spans="1:27" x14ac:dyDescent="0.25">
      <c r="A141">
        <v>137</v>
      </c>
      <c r="B141" s="19" t="s">
        <v>253</v>
      </c>
      <c r="C141" s="19" t="s">
        <v>254</v>
      </c>
      <c r="D141" s="19" t="s">
        <v>261</v>
      </c>
      <c r="E141" s="19" t="s">
        <v>262</v>
      </c>
      <c r="F141" s="19" t="s">
        <v>494</v>
      </c>
      <c r="G141" s="12">
        <v>43143</v>
      </c>
      <c r="H141" s="12">
        <v>43165</v>
      </c>
      <c r="I141">
        <v>13</v>
      </c>
      <c r="J141" s="12">
        <v>43150</v>
      </c>
      <c r="K141" t="b">
        <v>1</v>
      </c>
      <c r="L141" s="12">
        <v>43146</v>
      </c>
      <c r="M141" t="b">
        <v>0</v>
      </c>
      <c r="N141">
        <v>1</v>
      </c>
      <c r="O141">
        <v>1</v>
      </c>
      <c r="P141" s="19" t="s">
        <v>495</v>
      </c>
      <c r="Q141" s="19" t="s">
        <v>259</v>
      </c>
      <c r="R141" s="19" t="s">
        <v>121</v>
      </c>
      <c r="S141" s="19" t="s">
        <v>121</v>
      </c>
      <c r="T141" s="16">
        <v>43</v>
      </c>
      <c r="U141" s="16">
        <v>12.69</v>
      </c>
      <c r="V141" s="16">
        <v>55.69</v>
      </c>
      <c r="W141" s="19" t="s">
        <v>1003</v>
      </c>
      <c r="X141" s="19" t="s">
        <v>265</v>
      </c>
      <c r="Y141" s="12">
        <v>43177</v>
      </c>
      <c r="Z141" s="12">
        <v>43171</v>
      </c>
      <c r="AA141" s="12">
        <v>43177</v>
      </c>
    </row>
    <row r="142" spans="1:27" x14ac:dyDescent="0.25">
      <c r="A142">
        <v>138</v>
      </c>
      <c r="B142" s="19" t="s">
        <v>253</v>
      </c>
      <c r="C142" s="19" t="s">
        <v>254</v>
      </c>
      <c r="D142" s="19" t="s">
        <v>261</v>
      </c>
      <c r="E142" s="19" t="s">
        <v>262</v>
      </c>
      <c r="F142" s="19" t="s">
        <v>496</v>
      </c>
      <c r="G142" s="12">
        <v>43144</v>
      </c>
      <c r="H142" s="12">
        <v>43165</v>
      </c>
      <c r="I142">
        <v>13</v>
      </c>
      <c r="J142" s="12">
        <v>43150</v>
      </c>
      <c r="K142" t="b">
        <v>1</v>
      </c>
      <c r="L142" s="12">
        <v>43145</v>
      </c>
      <c r="M142" t="b">
        <v>0</v>
      </c>
      <c r="N142">
        <v>1</v>
      </c>
      <c r="O142">
        <v>1</v>
      </c>
      <c r="P142" s="19" t="s">
        <v>497</v>
      </c>
      <c r="Q142" s="19" t="s">
        <v>259</v>
      </c>
      <c r="R142" s="19" t="s">
        <v>121</v>
      </c>
      <c r="S142" s="19" t="s">
        <v>121</v>
      </c>
      <c r="T142" s="16">
        <v>10.99</v>
      </c>
      <c r="U142" s="16">
        <v>11.85</v>
      </c>
      <c r="V142" s="16">
        <v>22.84</v>
      </c>
      <c r="W142" s="19" t="s">
        <v>1001</v>
      </c>
      <c r="X142" s="19" t="s">
        <v>265</v>
      </c>
      <c r="Y142" s="12">
        <v>43177</v>
      </c>
      <c r="Z142" s="12">
        <v>43171</v>
      </c>
      <c r="AA142" s="12">
        <v>43177</v>
      </c>
    </row>
    <row r="143" spans="1:27" x14ac:dyDescent="0.25">
      <c r="A143">
        <v>139</v>
      </c>
      <c r="B143" s="19" t="s">
        <v>253</v>
      </c>
      <c r="C143" s="19" t="s">
        <v>254</v>
      </c>
      <c r="D143" s="19" t="s">
        <v>261</v>
      </c>
      <c r="E143" s="19" t="s">
        <v>262</v>
      </c>
      <c r="F143" s="19" t="s">
        <v>498</v>
      </c>
      <c r="G143" s="12">
        <v>43145</v>
      </c>
      <c r="H143" s="12">
        <v>43165</v>
      </c>
      <c r="I143">
        <v>13</v>
      </c>
      <c r="J143" s="12">
        <v>43151</v>
      </c>
      <c r="K143" t="b">
        <v>1</v>
      </c>
      <c r="L143" s="12">
        <v>43146</v>
      </c>
      <c r="M143" t="b">
        <v>0</v>
      </c>
      <c r="N143">
        <v>1</v>
      </c>
      <c r="O143">
        <v>1</v>
      </c>
      <c r="P143" s="19" t="s">
        <v>499</v>
      </c>
      <c r="Q143" s="19" t="s">
        <v>259</v>
      </c>
      <c r="R143" s="19" t="s">
        <v>121</v>
      </c>
      <c r="S143" s="19" t="s">
        <v>121</v>
      </c>
      <c r="T143" s="16">
        <v>99.8</v>
      </c>
      <c r="U143" s="16">
        <v>33.97</v>
      </c>
      <c r="V143" s="16">
        <v>133.77000000000001</v>
      </c>
      <c r="W143" s="19" t="s">
        <v>1003</v>
      </c>
      <c r="X143" s="19" t="s">
        <v>265</v>
      </c>
      <c r="Y143" s="12">
        <v>43177</v>
      </c>
      <c r="Z143" s="12">
        <v>43171</v>
      </c>
      <c r="AA143" s="12">
        <v>43177</v>
      </c>
    </row>
    <row r="144" spans="1:27" x14ac:dyDescent="0.25">
      <c r="A144">
        <v>140</v>
      </c>
      <c r="B144" s="19" t="s">
        <v>253</v>
      </c>
      <c r="C144" s="19" t="s">
        <v>254</v>
      </c>
      <c r="D144" s="19" t="s">
        <v>261</v>
      </c>
      <c r="E144" s="19" t="s">
        <v>262</v>
      </c>
      <c r="F144" s="19" t="s">
        <v>500</v>
      </c>
      <c r="G144" s="12">
        <v>43148</v>
      </c>
      <c r="H144" s="12">
        <v>43165</v>
      </c>
      <c r="I144">
        <v>13</v>
      </c>
      <c r="J144" s="12">
        <v>43152</v>
      </c>
      <c r="K144" t="b">
        <v>1</v>
      </c>
      <c r="L144" s="12">
        <v>43150</v>
      </c>
      <c r="M144" t="b">
        <v>0</v>
      </c>
      <c r="N144">
        <v>1</v>
      </c>
      <c r="O144">
        <v>1</v>
      </c>
      <c r="P144" s="19" t="s">
        <v>371</v>
      </c>
      <c r="Q144" s="19" t="s">
        <v>259</v>
      </c>
      <c r="R144" s="19" t="s">
        <v>121</v>
      </c>
      <c r="S144" s="19" t="s">
        <v>121</v>
      </c>
      <c r="T144" s="16">
        <v>49</v>
      </c>
      <c r="U144" s="16">
        <v>7.78</v>
      </c>
      <c r="V144" s="16">
        <v>56.78</v>
      </c>
      <c r="W144" s="19" t="s">
        <v>1004</v>
      </c>
      <c r="X144" s="19" t="s">
        <v>265</v>
      </c>
      <c r="Y144" s="12">
        <v>43177</v>
      </c>
      <c r="Z144" s="12">
        <v>43171</v>
      </c>
      <c r="AA144" s="12">
        <v>43177</v>
      </c>
    </row>
    <row r="145" spans="1:27" x14ac:dyDescent="0.25">
      <c r="A145">
        <v>141</v>
      </c>
      <c r="B145" s="19" t="s">
        <v>253</v>
      </c>
      <c r="C145" s="19" t="s">
        <v>254</v>
      </c>
      <c r="D145" s="19" t="s">
        <v>261</v>
      </c>
      <c r="E145" s="19" t="s">
        <v>262</v>
      </c>
      <c r="F145" s="19" t="s">
        <v>501</v>
      </c>
      <c r="G145" s="12">
        <v>43140</v>
      </c>
      <c r="H145" s="12">
        <v>43165</v>
      </c>
      <c r="I145">
        <v>13</v>
      </c>
      <c r="J145" s="12">
        <v>43153</v>
      </c>
      <c r="K145" t="b">
        <v>1</v>
      </c>
      <c r="L145" s="12">
        <v>43165</v>
      </c>
      <c r="M145" t="b">
        <v>0</v>
      </c>
      <c r="N145">
        <v>2</v>
      </c>
      <c r="O145">
        <v>1</v>
      </c>
      <c r="P145" s="19" t="s">
        <v>502</v>
      </c>
      <c r="Q145" s="19" t="s">
        <v>259</v>
      </c>
      <c r="R145" s="19" t="s">
        <v>122</v>
      </c>
      <c r="S145" s="19" t="s">
        <v>121</v>
      </c>
      <c r="T145" s="16">
        <v>158</v>
      </c>
      <c r="U145" s="16">
        <v>40.08</v>
      </c>
      <c r="V145" s="16">
        <v>198.08</v>
      </c>
      <c r="W145" s="19" t="s">
        <v>1005</v>
      </c>
      <c r="X145" s="19" t="s">
        <v>265</v>
      </c>
      <c r="Y145" s="12">
        <v>43177</v>
      </c>
      <c r="Z145" s="12">
        <v>43171</v>
      </c>
      <c r="AA145" s="12">
        <v>43177</v>
      </c>
    </row>
    <row r="146" spans="1:27" x14ac:dyDescent="0.25">
      <c r="A146">
        <v>142</v>
      </c>
      <c r="B146" s="19" t="s">
        <v>253</v>
      </c>
      <c r="C146" s="19" t="s">
        <v>254</v>
      </c>
      <c r="D146" s="19" t="s">
        <v>261</v>
      </c>
      <c r="E146" s="19" t="s">
        <v>262</v>
      </c>
      <c r="F146" s="19" t="s">
        <v>503</v>
      </c>
      <c r="G146" s="12">
        <v>43145</v>
      </c>
      <c r="H146" s="12">
        <v>43165</v>
      </c>
      <c r="I146">
        <v>13</v>
      </c>
      <c r="J146" s="12">
        <v>43153</v>
      </c>
      <c r="K146" t="b">
        <v>1</v>
      </c>
      <c r="L146" s="12">
        <v>43148</v>
      </c>
      <c r="M146" t="b">
        <v>0</v>
      </c>
      <c r="N146">
        <v>1</v>
      </c>
      <c r="O146">
        <v>1</v>
      </c>
      <c r="P146" s="19" t="s">
        <v>504</v>
      </c>
      <c r="Q146" s="19" t="s">
        <v>259</v>
      </c>
      <c r="R146" s="19" t="s">
        <v>121</v>
      </c>
      <c r="S146" s="19" t="s">
        <v>121</v>
      </c>
      <c r="T146" s="16">
        <v>74.900000000000006</v>
      </c>
      <c r="U146" s="16">
        <v>12.86</v>
      </c>
      <c r="V146" s="16">
        <v>87.76</v>
      </c>
      <c r="W146" s="19" t="s">
        <v>998</v>
      </c>
      <c r="X146" s="19" t="s">
        <v>265</v>
      </c>
      <c r="Y146" s="12">
        <v>43177</v>
      </c>
      <c r="Z146" s="12">
        <v>43171</v>
      </c>
      <c r="AA146" s="12">
        <v>43177</v>
      </c>
    </row>
    <row r="147" spans="1:27" x14ac:dyDescent="0.25">
      <c r="A147">
        <v>143</v>
      </c>
      <c r="B147" s="19" t="s">
        <v>253</v>
      </c>
      <c r="C147" s="19" t="s">
        <v>254</v>
      </c>
      <c r="D147" s="19" t="s">
        <v>261</v>
      </c>
      <c r="E147" s="19" t="s">
        <v>262</v>
      </c>
      <c r="F147" s="19" t="s">
        <v>505</v>
      </c>
      <c r="G147" s="12">
        <v>43148</v>
      </c>
      <c r="H147" s="12">
        <v>43165</v>
      </c>
      <c r="I147">
        <v>13</v>
      </c>
      <c r="J147" s="12">
        <v>43153</v>
      </c>
      <c r="K147" t="b">
        <v>1</v>
      </c>
      <c r="L147" s="12">
        <v>43151</v>
      </c>
      <c r="M147" t="b">
        <v>0</v>
      </c>
      <c r="N147">
        <v>1</v>
      </c>
      <c r="O147">
        <v>1</v>
      </c>
      <c r="P147" s="19" t="s">
        <v>506</v>
      </c>
      <c r="Q147" s="19" t="s">
        <v>259</v>
      </c>
      <c r="R147" s="19" t="s">
        <v>121</v>
      </c>
      <c r="S147" s="19" t="s">
        <v>121</v>
      </c>
      <c r="T147" s="16">
        <v>41.29</v>
      </c>
      <c r="U147" s="16">
        <v>9.34</v>
      </c>
      <c r="V147" s="16">
        <v>50.63</v>
      </c>
      <c r="W147" s="19" t="s">
        <v>1006</v>
      </c>
      <c r="X147" s="19" t="s">
        <v>265</v>
      </c>
      <c r="Y147" s="12">
        <v>43177</v>
      </c>
      <c r="Z147" s="12">
        <v>43171</v>
      </c>
      <c r="AA147" s="12">
        <v>43177</v>
      </c>
    </row>
    <row r="148" spans="1:27" x14ac:dyDescent="0.25">
      <c r="A148">
        <v>144</v>
      </c>
      <c r="B148" s="19" t="s">
        <v>253</v>
      </c>
      <c r="C148" s="19" t="s">
        <v>254</v>
      </c>
      <c r="D148" s="19" t="s">
        <v>255</v>
      </c>
      <c r="E148" s="19" t="s">
        <v>256</v>
      </c>
      <c r="F148" s="19" t="s">
        <v>507</v>
      </c>
      <c r="G148" s="12">
        <v>43149</v>
      </c>
      <c r="H148" s="12">
        <v>43165</v>
      </c>
      <c r="I148">
        <v>13</v>
      </c>
      <c r="J148" s="12">
        <v>43157</v>
      </c>
      <c r="K148" t="b">
        <v>1</v>
      </c>
      <c r="L148" s="12"/>
      <c r="M148" t="b">
        <v>0</v>
      </c>
      <c r="N148">
        <v>1</v>
      </c>
      <c r="O148">
        <v>1</v>
      </c>
      <c r="P148" s="19" t="s">
        <v>508</v>
      </c>
      <c r="Q148" s="19" t="s">
        <v>259</v>
      </c>
      <c r="R148" s="19" t="s">
        <v>121</v>
      </c>
      <c r="S148" s="19" t="s">
        <v>121</v>
      </c>
      <c r="T148" s="16">
        <v>12.9</v>
      </c>
      <c r="U148" s="16">
        <v>8.7200000000000006</v>
      </c>
      <c r="V148" s="16">
        <v>21.62</v>
      </c>
      <c r="W148" s="19" t="s">
        <v>1007</v>
      </c>
      <c r="X148" s="19" t="s">
        <v>260</v>
      </c>
      <c r="Y148" s="12">
        <v>43177</v>
      </c>
      <c r="Z148" s="12">
        <v>43171</v>
      </c>
      <c r="AA148" s="12">
        <v>43177</v>
      </c>
    </row>
    <row r="149" spans="1:27" x14ac:dyDescent="0.25">
      <c r="A149">
        <v>145</v>
      </c>
      <c r="B149" s="19" t="s">
        <v>253</v>
      </c>
      <c r="C149" s="19" t="s">
        <v>254</v>
      </c>
      <c r="D149" s="19" t="s">
        <v>255</v>
      </c>
      <c r="E149" s="19" t="s">
        <v>256</v>
      </c>
      <c r="F149" s="19" t="s">
        <v>509</v>
      </c>
      <c r="G149" s="12">
        <v>43139</v>
      </c>
      <c r="H149" s="12">
        <v>43165</v>
      </c>
      <c r="I149">
        <v>13</v>
      </c>
      <c r="J149" s="12"/>
      <c r="K149" t="b">
        <v>1</v>
      </c>
      <c r="L149" s="12"/>
      <c r="M149" t="b">
        <v>0</v>
      </c>
      <c r="N149">
        <v>0</v>
      </c>
      <c r="O149">
        <v>0</v>
      </c>
      <c r="P149" s="19" t="s">
        <v>172</v>
      </c>
      <c r="Q149" s="19" t="s">
        <v>285</v>
      </c>
      <c r="R149" s="19" t="s">
        <v>172</v>
      </c>
      <c r="S149" s="19" t="s">
        <v>121</v>
      </c>
      <c r="T149" s="16">
        <v>0</v>
      </c>
      <c r="U149" s="16">
        <v>0</v>
      </c>
      <c r="V149" s="16">
        <v>94.21</v>
      </c>
      <c r="W149" s="19" t="s">
        <v>172</v>
      </c>
      <c r="X149" s="19" t="s">
        <v>260</v>
      </c>
      <c r="Y149" s="12">
        <v>43177</v>
      </c>
      <c r="Z149" s="12">
        <v>43171</v>
      </c>
      <c r="AA149" s="12">
        <v>43177</v>
      </c>
    </row>
    <row r="150" spans="1:27" x14ac:dyDescent="0.25">
      <c r="A150">
        <v>146</v>
      </c>
      <c r="B150" s="19" t="s">
        <v>253</v>
      </c>
      <c r="C150" s="19" t="s">
        <v>254</v>
      </c>
      <c r="D150" s="19" t="s">
        <v>255</v>
      </c>
      <c r="E150" s="19" t="s">
        <v>256</v>
      </c>
      <c r="F150" s="19" t="s">
        <v>510</v>
      </c>
      <c r="G150" s="12">
        <v>43142</v>
      </c>
      <c r="H150" s="12">
        <v>43165</v>
      </c>
      <c r="I150">
        <v>13</v>
      </c>
      <c r="J150" s="12"/>
      <c r="K150" t="b">
        <v>1</v>
      </c>
      <c r="L150" s="12"/>
      <c r="M150" t="b">
        <v>0</v>
      </c>
      <c r="N150">
        <v>0</v>
      </c>
      <c r="O150">
        <v>0</v>
      </c>
      <c r="P150" s="19" t="s">
        <v>172</v>
      </c>
      <c r="Q150" s="19" t="s">
        <v>285</v>
      </c>
      <c r="R150" s="19" t="s">
        <v>172</v>
      </c>
      <c r="S150" s="19" t="s">
        <v>122</v>
      </c>
      <c r="T150" s="16">
        <v>0</v>
      </c>
      <c r="U150" s="16">
        <v>0</v>
      </c>
      <c r="V150" s="16">
        <v>113.45</v>
      </c>
      <c r="W150" s="19" t="s">
        <v>172</v>
      </c>
      <c r="X150" s="19" t="s">
        <v>260</v>
      </c>
      <c r="Y150" s="12">
        <v>43177</v>
      </c>
      <c r="Z150" s="12">
        <v>43171</v>
      </c>
      <c r="AA150" s="12">
        <v>43177</v>
      </c>
    </row>
    <row r="151" spans="1:27" x14ac:dyDescent="0.25">
      <c r="A151">
        <v>147</v>
      </c>
      <c r="B151" s="19" t="s">
        <v>253</v>
      </c>
      <c r="C151" s="19" t="s">
        <v>254</v>
      </c>
      <c r="D151" s="19" t="s">
        <v>255</v>
      </c>
      <c r="E151" s="19" t="s">
        <v>256</v>
      </c>
      <c r="F151" s="19" t="s">
        <v>511</v>
      </c>
      <c r="G151" s="12">
        <v>43143</v>
      </c>
      <c r="H151" s="12">
        <v>43165</v>
      </c>
      <c r="I151">
        <v>13</v>
      </c>
      <c r="J151" s="12"/>
      <c r="K151" t="b">
        <v>1</v>
      </c>
      <c r="L151" s="12"/>
      <c r="M151" t="b">
        <v>0</v>
      </c>
      <c r="N151">
        <v>0</v>
      </c>
      <c r="O151">
        <v>0</v>
      </c>
      <c r="P151" s="19" t="s">
        <v>172</v>
      </c>
      <c r="Q151" s="19" t="s">
        <v>285</v>
      </c>
      <c r="R151" s="19" t="s">
        <v>172</v>
      </c>
      <c r="S151" s="19" t="s">
        <v>122</v>
      </c>
      <c r="T151" s="16">
        <v>0</v>
      </c>
      <c r="U151" s="16">
        <v>0</v>
      </c>
      <c r="V151" s="16">
        <v>93.3</v>
      </c>
      <c r="W151" s="19" t="s">
        <v>172</v>
      </c>
      <c r="X151" s="19" t="s">
        <v>260</v>
      </c>
      <c r="Y151" s="12">
        <v>43177</v>
      </c>
      <c r="Z151" s="12">
        <v>43171</v>
      </c>
      <c r="AA151" s="12">
        <v>43177</v>
      </c>
    </row>
    <row r="152" spans="1:27" x14ac:dyDescent="0.25">
      <c r="A152">
        <v>148</v>
      </c>
      <c r="B152" s="19" t="s">
        <v>253</v>
      </c>
      <c r="C152" s="19" t="s">
        <v>254</v>
      </c>
      <c r="D152" s="19" t="s">
        <v>261</v>
      </c>
      <c r="E152" s="19" t="s">
        <v>262</v>
      </c>
      <c r="F152" s="19" t="s">
        <v>512</v>
      </c>
      <c r="G152" s="12">
        <v>43131</v>
      </c>
      <c r="H152" s="12">
        <v>43166</v>
      </c>
      <c r="I152">
        <v>12</v>
      </c>
      <c r="J152" s="12">
        <v>43138</v>
      </c>
      <c r="K152" t="b">
        <v>1</v>
      </c>
      <c r="L152" s="12">
        <v>43136</v>
      </c>
      <c r="M152" t="b">
        <v>0</v>
      </c>
      <c r="N152">
        <v>1</v>
      </c>
      <c r="O152">
        <v>1</v>
      </c>
      <c r="P152" s="19" t="s">
        <v>513</v>
      </c>
      <c r="Q152" s="19" t="s">
        <v>259</v>
      </c>
      <c r="R152" s="19" t="s">
        <v>121</v>
      </c>
      <c r="S152" s="19" t="s">
        <v>154</v>
      </c>
      <c r="T152" s="16">
        <v>140</v>
      </c>
      <c r="U152" s="16">
        <v>23.85</v>
      </c>
      <c r="V152" s="16">
        <v>163.85</v>
      </c>
      <c r="W152" s="19" t="s">
        <v>1008</v>
      </c>
      <c r="X152" s="19" t="s">
        <v>265</v>
      </c>
      <c r="Y152" s="12">
        <v>43177</v>
      </c>
      <c r="Z152" s="12">
        <v>43171</v>
      </c>
      <c r="AA152" s="12">
        <v>43177</v>
      </c>
    </row>
    <row r="153" spans="1:27" x14ac:dyDescent="0.25">
      <c r="A153">
        <v>149</v>
      </c>
      <c r="B153" s="19" t="s">
        <v>253</v>
      </c>
      <c r="C153" s="19" t="s">
        <v>254</v>
      </c>
      <c r="D153" s="19" t="s">
        <v>261</v>
      </c>
      <c r="E153" s="19" t="s">
        <v>262</v>
      </c>
      <c r="F153" s="19" t="s">
        <v>514</v>
      </c>
      <c r="G153" s="12">
        <v>43133</v>
      </c>
      <c r="H153" s="12">
        <v>43166</v>
      </c>
      <c r="I153">
        <v>12</v>
      </c>
      <c r="J153" s="12">
        <v>43139</v>
      </c>
      <c r="K153" t="b">
        <v>1</v>
      </c>
      <c r="L153" s="12">
        <v>43134</v>
      </c>
      <c r="M153" t="b">
        <v>0</v>
      </c>
      <c r="N153">
        <v>2</v>
      </c>
      <c r="O153">
        <v>1</v>
      </c>
      <c r="P153" s="19" t="s">
        <v>417</v>
      </c>
      <c r="Q153" s="19" t="s">
        <v>259</v>
      </c>
      <c r="R153" s="19" t="s">
        <v>121</v>
      </c>
      <c r="S153" s="19" t="s">
        <v>152</v>
      </c>
      <c r="T153" s="16">
        <v>728</v>
      </c>
      <c r="U153" s="16">
        <v>55.66</v>
      </c>
      <c r="V153" s="16">
        <v>783.66</v>
      </c>
      <c r="W153" s="19" t="s">
        <v>1009</v>
      </c>
      <c r="X153" s="19" t="s">
        <v>265</v>
      </c>
      <c r="Y153" s="12">
        <v>43177</v>
      </c>
      <c r="Z153" s="12">
        <v>43171</v>
      </c>
      <c r="AA153" s="12">
        <v>43177</v>
      </c>
    </row>
    <row r="154" spans="1:27" x14ac:dyDescent="0.25">
      <c r="A154">
        <v>150</v>
      </c>
      <c r="B154" s="19" t="s">
        <v>253</v>
      </c>
      <c r="C154" s="19" t="s">
        <v>254</v>
      </c>
      <c r="D154" s="19" t="s">
        <v>255</v>
      </c>
      <c r="E154" s="19" t="s">
        <v>256</v>
      </c>
      <c r="F154" s="19" t="s">
        <v>515</v>
      </c>
      <c r="G154" s="12">
        <v>43135</v>
      </c>
      <c r="H154" s="12">
        <v>43166</v>
      </c>
      <c r="I154">
        <v>12</v>
      </c>
      <c r="J154" s="12">
        <v>43140</v>
      </c>
      <c r="K154" t="b">
        <v>1</v>
      </c>
      <c r="L154" s="12"/>
      <c r="M154" t="b">
        <v>0</v>
      </c>
      <c r="N154">
        <v>1</v>
      </c>
      <c r="O154">
        <v>1</v>
      </c>
      <c r="P154" s="19" t="s">
        <v>516</v>
      </c>
      <c r="Q154" s="19" t="s">
        <v>259</v>
      </c>
      <c r="R154" s="19" t="s">
        <v>121</v>
      </c>
      <c r="S154" s="19" t="s">
        <v>127</v>
      </c>
      <c r="T154" s="16">
        <v>63.9</v>
      </c>
      <c r="U154" s="16">
        <v>17.7</v>
      </c>
      <c r="V154" s="16">
        <v>81.599999999999994</v>
      </c>
      <c r="W154" s="19" t="s">
        <v>1010</v>
      </c>
      <c r="X154" s="19" t="s">
        <v>260</v>
      </c>
      <c r="Y154" s="12">
        <v>43177</v>
      </c>
      <c r="Z154" s="12">
        <v>43171</v>
      </c>
      <c r="AA154" s="12">
        <v>43177</v>
      </c>
    </row>
    <row r="155" spans="1:27" x14ac:dyDescent="0.25">
      <c r="A155">
        <v>151</v>
      </c>
      <c r="B155" s="19" t="s">
        <v>253</v>
      </c>
      <c r="C155" s="19" t="s">
        <v>254</v>
      </c>
      <c r="D155" s="19" t="s">
        <v>261</v>
      </c>
      <c r="E155" s="19" t="s">
        <v>262</v>
      </c>
      <c r="F155" s="19" t="s">
        <v>517</v>
      </c>
      <c r="G155" s="12">
        <v>43137</v>
      </c>
      <c r="H155" s="12">
        <v>43166</v>
      </c>
      <c r="I155">
        <v>12</v>
      </c>
      <c r="J155" s="12">
        <v>43143</v>
      </c>
      <c r="K155" t="b">
        <v>1</v>
      </c>
      <c r="L155" s="12">
        <v>43138</v>
      </c>
      <c r="M155" t="b">
        <v>0</v>
      </c>
      <c r="N155">
        <v>1</v>
      </c>
      <c r="O155">
        <v>1</v>
      </c>
      <c r="P155" s="19" t="s">
        <v>518</v>
      </c>
      <c r="Q155" s="19" t="s">
        <v>259</v>
      </c>
      <c r="R155" s="19" t="s">
        <v>121</v>
      </c>
      <c r="S155" s="19" t="s">
        <v>122</v>
      </c>
      <c r="T155" s="16">
        <v>89.9</v>
      </c>
      <c r="U155" s="16">
        <v>17.88</v>
      </c>
      <c r="V155" s="16">
        <v>107.78</v>
      </c>
      <c r="W155" s="19" t="s">
        <v>1011</v>
      </c>
      <c r="X155" s="19" t="s">
        <v>265</v>
      </c>
      <c r="Y155" s="12">
        <v>43177</v>
      </c>
      <c r="Z155" s="12">
        <v>43171</v>
      </c>
      <c r="AA155" s="12">
        <v>43177</v>
      </c>
    </row>
    <row r="156" spans="1:27" x14ac:dyDescent="0.25">
      <c r="A156">
        <v>152</v>
      </c>
      <c r="B156" s="19" t="s">
        <v>253</v>
      </c>
      <c r="C156" s="19" t="s">
        <v>254</v>
      </c>
      <c r="D156" s="19" t="s">
        <v>261</v>
      </c>
      <c r="E156" s="19" t="s">
        <v>262</v>
      </c>
      <c r="F156" s="19" t="s">
        <v>519</v>
      </c>
      <c r="G156" s="12">
        <v>43138</v>
      </c>
      <c r="H156" s="12">
        <v>43166</v>
      </c>
      <c r="I156">
        <v>12</v>
      </c>
      <c r="J156" s="12">
        <v>43146</v>
      </c>
      <c r="K156" t="b">
        <v>1</v>
      </c>
      <c r="L156" s="12">
        <v>43152</v>
      </c>
      <c r="M156" t="b">
        <v>0</v>
      </c>
      <c r="N156">
        <v>1</v>
      </c>
      <c r="O156">
        <v>1</v>
      </c>
      <c r="P156" s="19" t="s">
        <v>520</v>
      </c>
      <c r="Q156" s="19" t="s">
        <v>259</v>
      </c>
      <c r="R156" s="19" t="s">
        <v>135</v>
      </c>
      <c r="S156" s="19" t="s">
        <v>122</v>
      </c>
      <c r="T156" s="16">
        <v>940.5</v>
      </c>
      <c r="U156" s="16">
        <v>22.02</v>
      </c>
      <c r="V156" s="16">
        <v>962.52</v>
      </c>
      <c r="W156" s="19" t="s">
        <v>1012</v>
      </c>
      <c r="X156" s="19" t="s">
        <v>265</v>
      </c>
      <c r="Y156" s="12">
        <v>43177</v>
      </c>
      <c r="Z156" s="12">
        <v>43171</v>
      </c>
      <c r="AA156" s="12">
        <v>43177</v>
      </c>
    </row>
    <row r="157" spans="1:27" x14ac:dyDescent="0.25">
      <c r="A157">
        <v>153</v>
      </c>
      <c r="B157" s="19" t="s">
        <v>253</v>
      </c>
      <c r="C157" s="19" t="s">
        <v>254</v>
      </c>
      <c r="D157" s="19" t="s">
        <v>261</v>
      </c>
      <c r="E157" s="19" t="s">
        <v>262</v>
      </c>
      <c r="F157" s="19" t="s">
        <v>521</v>
      </c>
      <c r="G157" s="12">
        <v>43140</v>
      </c>
      <c r="H157" s="12">
        <v>43166</v>
      </c>
      <c r="I157">
        <v>12</v>
      </c>
      <c r="J157" s="12">
        <v>43146</v>
      </c>
      <c r="K157" t="b">
        <v>1</v>
      </c>
      <c r="L157" s="12">
        <v>43146</v>
      </c>
      <c r="M157" t="b">
        <v>0</v>
      </c>
      <c r="N157">
        <v>1</v>
      </c>
      <c r="O157">
        <v>1</v>
      </c>
      <c r="P157" s="19" t="s">
        <v>522</v>
      </c>
      <c r="Q157" s="19" t="s">
        <v>259</v>
      </c>
      <c r="R157" s="19" t="s">
        <v>131</v>
      </c>
      <c r="S157" s="19" t="s">
        <v>121</v>
      </c>
      <c r="T157" s="16">
        <v>750</v>
      </c>
      <c r="U157" s="16">
        <v>43.09</v>
      </c>
      <c r="V157" s="16">
        <v>793.09</v>
      </c>
      <c r="W157" s="19" t="s">
        <v>1013</v>
      </c>
      <c r="X157" s="19" t="s">
        <v>265</v>
      </c>
      <c r="Y157" s="12">
        <v>43177</v>
      </c>
      <c r="Z157" s="12">
        <v>43171</v>
      </c>
      <c r="AA157" s="12">
        <v>43177</v>
      </c>
    </row>
    <row r="158" spans="1:27" x14ac:dyDescent="0.25">
      <c r="A158">
        <v>154</v>
      </c>
      <c r="B158" s="19" t="s">
        <v>253</v>
      </c>
      <c r="C158" s="19" t="s">
        <v>254</v>
      </c>
      <c r="D158" s="19" t="s">
        <v>261</v>
      </c>
      <c r="E158" s="19" t="s">
        <v>262</v>
      </c>
      <c r="F158" s="19" t="s">
        <v>523</v>
      </c>
      <c r="G158" s="12">
        <v>43136</v>
      </c>
      <c r="H158" s="12">
        <v>43166</v>
      </c>
      <c r="I158">
        <v>12</v>
      </c>
      <c r="J158" s="12">
        <v>43146</v>
      </c>
      <c r="K158" t="b">
        <v>1</v>
      </c>
      <c r="L158" s="12">
        <v>43140</v>
      </c>
      <c r="M158" t="b">
        <v>0</v>
      </c>
      <c r="N158">
        <v>1</v>
      </c>
      <c r="O158">
        <v>1</v>
      </c>
      <c r="P158" s="19" t="s">
        <v>433</v>
      </c>
      <c r="Q158" s="19" t="s">
        <v>259</v>
      </c>
      <c r="R158" s="19" t="s">
        <v>121</v>
      </c>
      <c r="S158" s="19" t="s">
        <v>122</v>
      </c>
      <c r="T158" s="16">
        <v>215</v>
      </c>
      <c r="U158" s="16">
        <v>21</v>
      </c>
      <c r="V158" s="16">
        <v>236</v>
      </c>
      <c r="W158" s="19" t="s">
        <v>1014</v>
      </c>
      <c r="X158" s="19" t="s">
        <v>265</v>
      </c>
      <c r="Y158" s="12">
        <v>43177</v>
      </c>
      <c r="Z158" s="12">
        <v>43171</v>
      </c>
      <c r="AA158" s="12">
        <v>43177</v>
      </c>
    </row>
    <row r="159" spans="1:27" x14ac:dyDescent="0.25">
      <c r="A159">
        <v>155</v>
      </c>
      <c r="B159" s="19" t="s">
        <v>253</v>
      </c>
      <c r="C159" s="19" t="s">
        <v>254</v>
      </c>
      <c r="D159" s="19" t="s">
        <v>261</v>
      </c>
      <c r="E159" s="19" t="s">
        <v>262</v>
      </c>
      <c r="F159" s="19" t="s">
        <v>524</v>
      </c>
      <c r="G159" s="12">
        <v>43140</v>
      </c>
      <c r="H159" s="12">
        <v>43166</v>
      </c>
      <c r="I159">
        <v>12</v>
      </c>
      <c r="J159" s="12">
        <v>43146</v>
      </c>
      <c r="K159" t="b">
        <v>1</v>
      </c>
      <c r="L159" s="12">
        <v>43146</v>
      </c>
      <c r="M159" t="b">
        <v>0</v>
      </c>
      <c r="N159">
        <v>1</v>
      </c>
      <c r="O159">
        <v>1</v>
      </c>
      <c r="P159" s="19" t="s">
        <v>525</v>
      </c>
      <c r="Q159" s="19" t="s">
        <v>259</v>
      </c>
      <c r="R159" s="19" t="s">
        <v>131</v>
      </c>
      <c r="S159" s="19" t="s">
        <v>131</v>
      </c>
      <c r="T159" s="16">
        <v>165</v>
      </c>
      <c r="U159" s="16">
        <v>17.63</v>
      </c>
      <c r="V159" s="16">
        <v>182.63</v>
      </c>
      <c r="W159" s="19" t="s">
        <v>1013</v>
      </c>
      <c r="X159" s="19" t="s">
        <v>265</v>
      </c>
      <c r="Y159" s="12">
        <v>43177</v>
      </c>
      <c r="Z159" s="12">
        <v>43171</v>
      </c>
      <c r="AA159" s="12">
        <v>43177</v>
      </c>
    </row>
    <row r="160" spans="1:27" x14ac:dyDescent="0.25">
      <c r="A160">
        <v>156</v>
      </c>
      <c r="B160" s="19" t="s">
        <v>253</v>
      </c>
      <c r="C160" s="19" t="s">
        <v>254</v>
      </c>
      <c r="D160" s="19" t="s">
        <v>261</v>
      </c>
      <c r="E160" s="19" t="s">
        <v>262</v>
      </c>
      <c r="F160" s="19" t="s">
        <v>526</v>
      </c>
      <c r="G160" s="12">
        <v>43138</v>
      </c>
      <c r="H160" s="12">
        <v>43166</v>
      </c>
      <c r="I160">
        <v>12</v>
      </c>
      <c r="J160" s="12">
        <v>43146</v>
      </c>
      <c r="K160" t="b">
        <v>1</v>
      </c>
      <c r="L160" s="12">
        <v>43139</v>
      </c>
      <c r="M160" t="b">
        <v>0</v>
      </c>
      <c r="N160">
        <v>1</v>
      </c>
      <c r="O160">
        <v>1</v>
      </c>
      <c r="P160" s="19" t="s">
        <v>365</v>
      </c>
      <c r="Q160" s="19" t="s">
        <v>259</v>
      </c>
      <c r="R160" s="19" t="s">
        <v>121</v>
      </c>
      <c r="S160" s="19" t="s">
        <v>121</v>
      </c>
      <c r="T160" s="16">
        <v>89.99</v>
      </c>
      <c r="U160" s="16">
        <v>12.97</v>
      </c>
      <c r="V160" s="16">
        <v>102.96</v>
      </c>
      <c r="W160" s="19" t="s">
        <v>1015</v>
      </c>
      <c r="X160" s="19" t="s">
        <v>265</v>
      </c>
      <c r="Y160" s="12">
        <v>43177</v>
      </c>
      <c r="Z160" s="12">
        <v>43171</v>
      </c>
      <c r="AA160" s="12">
        <v>43177</v>
      </c>
    </row>
    <row r="161" spans="1:27" x14ac:dyDescent="0.25">
      <c r="A161">
        <v>157</v>
      </c>
      <c r="B161" s="19" t="s">
        <v>253</v>
      </c>
      <c r="C161" s="19" t="s">
        <v>254</v>
      </c>
      <c r="D161" s="19" t="s">
        <v>261</v>
      </c>
      <c r="E161" s="19" t="s">
        <v>262</v>
      </c>
      <c r="F161" s="19" t="s">
        <v>527</v>
      </c>
      <c r="G161" s="12">
        <v>43141</v>
      </c>
      <c r="H161" s="12">
        <v>43166</v>
      </c>
      <c r="I161">
        <v>12</v>
      </c>
      <c r="J161" s="12">
        <v>43146</v>
      </c>
      <c r="K161" t="b">
        <v>1</v>
      </c>
      <c r="L161" s="12">
        <v>43146</v>
      </c>
      <c r="M161" t="b">
        <v>0</v>
      </c>
      <c r="N161">
        <v>1</v>
      </c>
      <c r="O161">
        <v>1</v>
      </c>
      <c r="P161" s="19" t="s">
        <v>528</v>
      </c>
      <c r="Q161" s="19" t="s">
        <v>259</v>
      </c>
      <c r="R161" s="19" t="s">
        <v>121</v>
      </c>
      <c r="S161" s="19" t="s">
        <v>122</v>
      </c>
      <c r="T161" s="16">
        <v>49.9</v>
      </c>
      <c r="U161" s="16">
        <v>14.1</v>
      </c>
      <c r="V161" s="16">
        <v>64</v>
      </c>
      <c r="W161" s="19" t="s">
        <v>1013</v>
      </c>
      <c r="X161" s="19" t="s">
        <v>265</v>
      </c>
      <c r="Y161" s="12">
        <v>43177</v>
      </c>
      <c r="Z161" s="12">
        <v>43171</v>
      </c>
      <c r="AA161" s="12">
        <v>43177</v>
      </c>
    </row>
    <row r="162" spans="1:27" x14ac:dyDescent="0.25">
      <c r="A162">
        <v>158</v>
      </c>
      <c r="B162" s="19" t="s">
        <v>253</v>
      </c>
      <c r="C162" s="19" t="s">
        <v>254</v>
      </c>
      <c r="D162" s="19" t="s">
        <v>255</v>
      </c>
      <c r="E162" s="19" t="s">
        <v>256</v>
      </c>
      <c r="F162" s="19" t="s">
        <v>529</v>
      </c>
      <c r="G162" s="12">
        <v>43140</v>
      </c>
      <c r="H162" s="12">
        <v>43166</v>
      </c>
      <c r="I162">
        <v>12</v>
      </c>
      <c r="J162" s="12">
        <v>43146</v>
      </c>
      <c r="K162" t="b">
        <v>1</v>
      </c>
      <c r="L162" s="12"/>
      <c r="M162" t="b">
        <v>0</v>
      </c>
      <c r="N162">
        <v>1</v>
      </c>
      <c r="O162">
        <v>1</v>
      </c>
      <c r="P162" s="19" t="s">
        <v>530</v>
      </c>
      <c r="Q162" s="19" t="s">
        <v>259</v>
      </c>
      <c r="R162" s="19" t="s">
        <v>135</v>
      </c>
      <c r="S162" s="19" t="s">
        <v>122</v>
      </c>
      <c r="T162" s="16">
        <v>26</v>
      </c>
      <c r="U162" s="16">
        <v>15.79</v>
      </c>
      <c r="V162" s="16">
        <v>41.79</v>
      </c>
      <c r="W162" s="19" t="s">
        <v>1016</v>
      </c>
      <c r="X162" s="19" t="s">
        <v>260</v>
      </c>
      <c r="Y162" s="12">
        <v>43177</v>
      </c>
      <c r="Z162" s="12">
        <v>43171</v>
      </c>
      <c r="AA162" s="12">
        <v>43177</v>
      </c>
    </row>
    <row r="163" spans="1:27" x14ac:dyDescent="0.25">
      <c r="A163">
        <v>159</v>
      </c>
      <c r="B163" s="19" t="s">
        <v>253</v>
      </c>
      <c r="C163" s="19" t="s">
        <v>254</v>
      </c>
      <c r="D163" s="19" t="s">
        <v>261</v>
      </c>
      <c r="E163" s="19" t="s">
        <v>262</v>
      </c>
      <c r="F163" s="19" t="s">
        <v>531</v>
      </c>
      <c r="G163" s="12">
        <v>43143</v>
      </c>
      <c r="H163" s="12">
        <v>43166</v>
      </c>
      <c r="I163">
        <v>12</v>
      </c>
      <c r="J163" s="12">
        <v>43147</v>
      </c>
      <c r="K163" t="b">
        <v>1</v>
      </c>
      <c r="L163" s="12">
        <v>43146</v>
      </c>
      <c r="M163" t="b">
        <v>0</v>
      </c>
      <c r="N163">
        <v>1</v>
      </c>
      <c r="O163">
        <v>1</v>
      </c>
      <c r="P163" s="19" t="s">
        <v>532</v>
      </c>
      <c r="Q163" s="19" t="s">
        <v>259</v>
      </c>
      <c r="R163" s="19" t="s">
        <v>121</v>
      </c>
      <c r="S163" s="19" t="s">
        <v>121</v>
      </c>
      <c r="T163" s="16">
        <v>100</v>
      </c>
      <c r="U163" s="16">
        <v>12.2</v>
      </c>
      <c r="V163" s="16">
        <v>112.2</v>
      </c>
      <c r="W163" s="19" t="s">
        <v>1013</v>
      </c>
      <c r="X163" s="19" t="s">
        <v>265</v>
      </c>
      <c r="Y163" s="12">
        <v>43177</v>
      </c>
      <c r="Z163" s="12">
        <v>43171</v>
      </c>
      <c r="AA163" s="12">
        <v>43177</v>
      </c>
    </row>
    <row r="164" spans="1:27" x14ac:dyDescent="0.25">
      <c r="A164">
        <v>160</v>
      </c>
      <c r="B164" s="19" t="s">
        <v>253</v>
      </c>
      <c r="C164" s="19" t="s">
        <v>254</v>
      </c>
      <c r="D164" s="19" t="s">
        <v>261</v>
      </c>
      <c r="E164" s="19" t="s">
        <v>262</v>
      </c>
      <c r="F164" s="19" t="s">
        <v>533</v>
      </c>
      <c r="G164" s="12">
        <v>43143</v>
      </c>
      <c r="H164" s="12">
        <v>43166</v>
      </c>
      <c r="I164">
        <v>12</v>
      </c>
      <c r="J164" s="12">
        <v>43147</v>
      </c>
      <c r="K164" t="b">
        <v>1</v>
      </c>
      <c r="L164" s="12">
        <v>43147</v>
      </c>
      <c r="M164" t="b">
        <v>0</v>
      </c>
      <c r="N164">
        <v>2</v>
      </c>
      <c r="O164">
        <v>1</v>
      </c>
      <c r="P164" s="19" t="s">
        <v>478</v>
      </c>
      <c r="Q164" s="19" t="s">
        <v>259</v>
      </c>
      <c r="R164" s="19" t="s">
        <v>121</v>
      </c>
      <c r="S164" s="19" t="s">
        <v>122</v>
      </c>
      <c r="T164" s="16">
        <v>99.8</v>
      </c>
      <c r="U164" s="16">
        <v>35.200000000000003</v>
      </c>
      <c r="V164" s="16">
        <v>135</v>
      </c>
      <c r="W164" s="19" t="s">
        <v>1017</v>
      </c>
      <c r="X164" s="19" t="s">
        <v>265</v>
      </c>
      <c r="Y164" s="12">
        <v>43177</v>
      </c>
      <c r="Z164" s="12">
        <v>43171</v>
      </c>
      <c r="AA164" s="12">
        <v>43177</v>
      </c>
    </row>
    <row r="165" spans="1:27" x14ac:dyDescent="0.25">
      <c r="A165">
        <v>161</v>
      </c>
      <c r="B165" s="19" t="s">
        <v>253</v>
      </c>
      <c r="C165" s="19" t="s">
        <v>254</v>
      </c>
      <c r="D165" s="19" t="s">
        <v>261</v>
      </c>
      <c r="E165" s="19" t="s">
        <v>262</v>
      </c>
      <c r="F165" s="19" t="s">
        <v>534</v>
      </c>
      <c r="G165" s="12">
        <v>43144</v>
      </c>
      <c r="H165" s="12">
        <v>43166</v>
      </c>
      <c r="I165">
        <v>12</v>
      </c>
      <c r="J165" s="12">
        <v>43151</v>
      </c>
      <c r="K165" t="b">
        <v>1</v>
      </c>
      <c r="L165" s="12">
        <v>43152</v>
      </c>
      <c r="M165" t="b">
        <v>0</v>
      </c>
      <c r="N165">
        <v>1</v>
      </c>
      <c r="O165">
        <v>1</v>
      </c>
      <c r="P165" s="19" t="s">
        <v>535</v>
      </c>
      <c r="Q165" s="19" t="s">
        <v>259</v>
      </c>
      <c r="R165" s="19" t="s">
        <v>121</v>
      </c>
      <c r="S165" s="19" t="s">
        <v>131</v>
      </c>
      <c r="T165" s="16">
        <v>199</v>
      </c>
      <c r="U165" s="16">
        <v>45.85</v>
      </c>
      <c r="V165" s="16">
        <v>244.85</v>
      </c>
      <c r="W165" s="19" t="s">
        <v>1012</v>
      </c>
      <c r="X165" s="19" t="s">
        <v>265</v>
      </c>
      <c r="Y165" s="12">
        <v>43177</v>
      </c>
      <c r="Z165" s="12">
        <v>43171</v>
      </c>
      <c r="AA165" s="12">
        <v>43177</v>
      </c>
    </row>
    <row r="166" spans="1:27" x14ac:dyDescent="0.25">
      <c r="A166">
        <v>162</v>
      </c>
      <c r="B166" s="19" t="s">
        <v>253</v>
      </c>
      <c r="C166" s="19" t="s">
        <v>254</v>
      </c>
      <c r="D166" s="19" t="s">
        <v>261</v>
      </c>
      <c r="E166" s="19" t="s">
        <v>262</v>
      </c>
      <c r="F166" s="19" t="s">
        <v>536</v>
      </c>
      <c r="G166" s="12">
        <v>43145</v>
      </c>
      <c r="H166" s="12">
        <v>43166</v>
      </c>
      <c r="I166">
        <v>12</v>
      </c>
      <c r="J166" s="12">
        <v>43151</v>
      </c>
      <c r="K166" t="b">
        <v>1</v>
      </c>
      <c r="L166" s="12">
        <v>43147</v>
      </c>
      <c r="M166" t="b">
        <v>0</v>
      </c>
      <c r="N166">
        <v>1</v>
      </c>
      <c r="O166">
        <v>1</v>
      </c>
      <c r="P166" s="19" t="s">
        <v>537</v>
      </c>
      <c r="Q166" s="19" t="s">
        <v>259</v>
      </c>
      <c r="R166" s="19" t="s">
        <v>121</v>
      </c>
      <c r="S166" s="19" t="s">
        <v>121</v>
      </c>
      <c r="T166" s="16">
        <v>120</v>
      </c>
      <c r="U166" s="16">
        <v>17.55</v>
      </c>
      <c r="V166" s="16">
        <v>137.55000000000001</v>
      </c>
      <c r="W166" s="19" t="s">
        <v>1017</v>
      </c>
      <c r="X166" s="19" t="s">
        <v>265</v>
      </c>
      <c r="Y166" s="12">
        <v>43177</v>
      </c>
      <c r="Z166" s="12">
        <v>43171</v>
      </c>
      <c r="AA166" s="12">
        <v>43177</v>
      </c>
    </row>
    <row r="167" spans="1:27" x14ac:dyDescent="0.25">
      <c r="A167">
        <v>163</v>
      </c>
      <c r="B167" s="19" t="s">
        <v>253</v>
      </c>
      <c r="C167" s="19" t="s">
        <v>254</v>
      </c>
      <c r="D167" s="19" t="s">
        <v>261</v>
      </c>
      <c r="E167" s="19" t="s">
        <v>262</v>
      </c>
      <c r="F167" s="19" t="s">
        <v>538</v>
      </c>
      <c r="G167" s="12">
        <v>43145</v>
      </c>
      <c r="H167" s="12">
        <v>43166</v>
      </c>
      <c r="I167">
        <v>12</v>
      </c>
      <c r="J167" s="12">
        <v>43151</v>
      </c>
      <c r="K167" t="b">
        <v>1</v>
      </c>
      <c r="L167" s="12">
        <v>43148</v>
      </c>
      <c r="M167" t="b">
        <v>0</v>
      </c>
      <c r="N167">
        <v>1</v>
      </c>
      <c r="O167">
        <v>1</v>
      </c>
      <c r="P167" s="19" t="s">
        <v>539</v>
      </c>
      <c r="Q167" s="19" t="s">
        <v>259</v>
      </c>
      <c r="R167" s="19" t="s">
        <v>122</v>
      </c>
      <c r="S167" s="19" t="s">
        <v>121</v>
      </c>
      <c r="T167" s="16">
        <v>49.99</v>
      </c>
      <c r="U167" s="16">
        <v>14.1</v>
      </c>
      <c r="V167" s="16">
        <v>64.09</v>
      </c>
      <c r="W167" s="19" t="s">
        <v>1018</v>
      </c>
      <c r="X167" s="19" t="s">
        <v>265</v>
      </c>
      <c r="Y167" s="12">
        <v>43177</v>
      </c>
      <c r="Z167" s="12">
        <v>43171</v>
      </c>
      <c r="AA167" s="12">
        <v>43177</v>
      </c>
    </row>
    <row r="168" spans="1:27" x14ac:dyDescent="0.25">
      <c r="A168">
        <v>164</v>
      </c>
      <c r="B168" s="19" t="s">
        <v>253</v>
      </c>
      <c r="C168" s="19" t="s">
        <v>254</v>
      </c>
      <c r="D168" s="19" t="s">
        <v>261</v>
      </c>
      <c r="E168" s="19" t="s">
        <v>262</v>
      </c>
      <c r="F168" s="19" t="s">
        <v>540</v>
      </c>
      <c r="G168" s="12">
        <v>43140</v>
      </c>
      <c r="H168" s="12">
        <v>43166</v>
      </c>
      <c r="I168">
        <v>12</v>
      </c>
      <c r="J168" s="12">
        <v>43151</v>
      </c>
      <c r="K168" t="b">
        <v>1</v>
      </c>
      <c r="L168" s="12">
        <v>43147</v>
      </c>
      <c r="M168" t="b">
        <v>0</v>
      </c>
      <c r="N168">
        <v>1</v>
      </c>
      <c r="O168">
        <v>1</v>
      </c>
      <c r="P168" s="19" t="s">
        <v>541</v>
      </c>
      <c r="Q168" s="19" t="s">
        <v>259</v>
      </c>
      <c r="R168" s="19" t="s">
        <v>121</v>
      </c>
      <c r="S168" s="19" t="s">
        <v>127</v>
      </c>
      <c r="T168" s="16">
        <v>49.95</v>
      </c>
      <c r="U168" s="16">
        <v>15.1</v>
      </c>
      <c r="V168" s="16">
        <v>65.05</v>
      </c>
      <c r="W168" s="19" t="s">
        <v>1017</v>
      </c>
      <c r="X168" s="19" t="s">
        <v>265</v>
      </c>
      <c r="Y168" s="12">
        <v>43177</v>
      </c>
      <c r="Z168" s="12">
        <v>43171</v>
      </c>
      <c r="AA168" s="12">
        <v>43177</v>
      </c>
    </row>
    <row r="169" spans="1:27" x14ac:dyDescent="0.25">
      <c r="A169">
        <v>165</v>
      </c>
      <c r="B169" s="19" t="s">
        <v>253</v>
      </c>
      <c r="C169" s="19" t="s">
        <v>254</v>
      </c>
      <c r="D169" s="19" t="s">
        <v>261</v>
      </c>
      <c r="E169" s="19" t="s">
        <v>262</v>
      </c>
      <c r="F169" s="19" t="s">
        <v>542</v>
      </c>
      <c r="G169" s="12">
        <v>43145</v>
      </c>
      <c r="H169" s="12">
        <v>43166</v>
      </c>
      <c r="I169">
        <v>12</v>
      </c>
      <c r="J169" s="12">
        <v>43151</v>
      </c>
      <c r="K169" t="b">
        <v>1</v>
      </c>
      <c r="L169" s="12">
        <v>43146</v>
      </c>
      <c r="M169" t="b">
        <v>0</v>
      </c>
      <c r="N169">
        <v>1</v>
      </c>
      <c r="O169">
        <v>1</v>
      </c>
      <c r="P169" s="19" t="s">
        <v>437</v>
      </c>
      <c r="Q169" s="19" t="s">
        <v>259</v>
      </c>
      <c r="R169" s="19" t="s">
        <v>131</v>
      </c>
      <c r="S169" s="19" t="s">
        <v>122</v>
      </c>
      <c r="T169" s="16">
        <v>40.799999999999997</v>
      </c>
      <c r="U169" s="16">
        <v>15.11</v>
      </c>
      <c r="V169" s="16">
        <v>55.91</v>
      </c>
      <c r="W169" s="19" t="s">
        <v>1013</v>
      </c>
      <c r="X169" s="19" t="s">
        <v>265</v>
      </c>
      <c r="Y169" s="12">
        <v>43177</v>
      </c>
      <c r="Z169" s="12">
        <v>43171</v>
      </c>
      <c r="AA169" s="12">
        <v>43177</v>
      </c>
    </row>
    <row r="170" spans="1:27" x14ac:dyDescent="0.25">
      <c r="A170">
        <v>166</v>
      </c>
      <c r="B170" s="19" t="s">
        <v>253</v>
      </c>
      <c r="C170" s="19" t="s">
        <v>254</v>
      </c>
      <c r="D170" s="19" t="s">
        <v>261</v>
      </c>
      <c r="E170" s="19" t="s">
        <v>262</v>
      </c>
      <c r="F170" s="19" t="s">
        <v>543</v>
      </c>
      <c r="G170" s="12">
        <v>43146</v>
      </c>
      <c r="H170" s="12">
        <v>43166</v>
      </c>
      <c r="I170">
        <v>12</v>
      </c>
      <c r="J170" s="12">
        <v>43152</v>
      </c>
      <c r="K170" t="b">
        <v>1</v>
      </c>
      <c r="L170" s="12">
        <v>43152</v>
      </c>
      <c r="M170" t="b">
        <v>0</v>
      </c>
      <c r="N170">
        <v>1</v>
      </c>
      <c r="O170">
        <v>1</v>
      </c>
      <c r="P170" s="19" t="s">
        <v>356</v>
      </c>
      <c r="Q170" s="19" t="s">
        <v>259</v>
      </c>
      <c r="R170" s="19" t="s">
        <v>121</v>
      </c>
      <c r="S170" s="19" t="s">
        <v>121</v>
      </c>
      <c r="T170" s="16">
        <v>189</v>
      </c>
      <c r="U170" s="16">
        <v>32.35</v>
      </c>
      <c r="V170" s="16">
        <v>221.35</v>
      </c>
      <c r="W170" s="19" t="s">
        <v>1012</v>
      </c>
      <c r="X170" s="19" t="s">
        <v>265</v>
      </c>
      <c r="Y170" s="12">
        <v>43177</v>
      </c>
      <c r="Z170" s="12">
        <v>43171</v>
      </c>
      <c r="AA170" s="12">
        <v>43177</v>
      </c>
    </row>
    <row r="171" spans="1:27" x14ac:dyDescent="0.25">
      <c r="A171">
        <v>167</v>
      </c>
      <c r="B171" s="19" t="s">
        <v>253</v>
      </c>
      <c r="C171" s="19" t="s">
        <v>254</v>
      </c>
      <c r="D171" s="19" t="s">
        <v>261</v>
      </c>
      <c r="E171" s="19" t="s">
        <v>262</v>
      </c>
      <c r="F171" s="19" t="s">
        <v>544</v>
      </c>
      <c r="G171" s="12">
        <v>43146</v>
      </c>
      <c r="H171" s="12">
        <v>43166</v>
      </c>
      <c r="I171">
        <v>12</v>
      </c>
      <c r="J171" s="12">
        <v>43152</v>
      </c>
      <c r="K171" t="b">
        <v>1</v>
      </c>
      <c r="L171" s="12">
        <v>43150</v>
      </c>
      <c r="M171" t="b">
        <v>0</v>
      </c>
      <c r="N171">
        <v>1</v>
      </c>
      <c r="O171">
        <v>1</v>
      </c>
      <c r="P171" s="19" t="s">
        <v>545</v>
      </c>
      <c r="Q171" s="19" t="s">
        <v>259</v>
      </c>
      <c r="R171" s="19" t="s">
        <v>121</v>
      </c>
      <c r="S171" s="19" t="s">
        <v>121</v>
      </c>
      <c r="T171" s="16">
        <v>27.3</v>
      </c>
      <c r="U171" s="16">
        <v>11.85</v>
      </c>
      <c r="V171" s="16">
        <v>39.15</v>
      </c>
      <c r="W171" s="19" t="s">
        <v>1019</v>
      </c>
      <c r="X171" s="19" t="s">
        <v>265</v>
      </c>
      <c r="Y171" s="12">
        <v>43177</v>
      </c>
      <c r="Z171" s="12">
        <v>43171</v>
      </c>
      <c r="AA171" s="12">
        <v>43177</v>
      </c>
    </row>
    <row r="172" spans="1:27" x14ac:dyDescent="0.25">
      <c r="A172">
        <v>168</v>
      </c>
      <c r="B172" s="19" t="s">
        <v>253</v>
      </c>
      <c r="C172" s="19" t="s">
        <v>254</v>
      </c>
      <c r="D172" s="19" t="s">
        <v>261</v>
      </c>
      <c r="E172" s="19" t="s">
        <v>262</v>
      </c>
      <c r="F172" s="19" t="s">
        <v>546</v>
      </c>
      <c r="G172" s="12">
        <v>43146</v>
      </c>
      <c r="H172" s="12">
        <v>43166</v>
      </c>
      <c r="I172">
        <v>12</v>
      </c>
      <c r="J172" s="12">
        <v>43152</v>
      </c>
      <c r="K172" t="b">
        <v>1</v>
      </c>
      <c r="L172" s="12">
        <v>43148</v>
      </c>
      <c r="M172" t="b">
        <v>0</v>
      </c>
      <c r="N172">
        <v>1</v>
      </c>
      <c r="O172">
        <v>1</v>
      </c>
      <c r="P172" s="19" t="s">
        <v>547</v>
      </c>
      <c r="Q172" s="19" t="s">
        <v>259</v>
      </c>
      <c r="R172" s="19" t="s">
        <v>121</v>
      </c>
      <c r="S172" s="19" t="s">
        <v>121</v>
      </c>
      <c r="T172" s="16">
        <v>25.9</v>
      </c>
      <c r="U172" s="16">
        <v>11.85</v>
      </c>
      <c r="V172" s="16">
        <v>37.75</v>
      </c>
      <c r="W172" s="19" t="s">
        <v>1018</v>
      </c>
      <c r="X172" s="19" t="s">
        <v>265</v>
      </c>
      <c r="Y172" s="12">
        <v>43177</v>
      </c>
      <c r="Z172" s="12">
        <v>43171</v>
      </c>
      <c r="AA172" s="12">
        <v>43177</v>
      </c>
    </row>
    <row r="173" spans="1:27" x14ac:dyDescent="0.25">
      <c r="A173">
        <v>169</v>
      </c>
      <c r="B173" s="19" t="s">
        <v>253</v>
      </c>
      <c r="C173" s="19" t="s">
        <v>254</v>
      </c>
      <c r="D173" s="19" t="s">
        <v>261</v>
      </c>
      <c r="E173" s="19" t="s">
        <v>262</v>
      </c>
      <c r="F173" s="19" t="s">
        <v>548</v>
      </c>
      <c r="G173" s="12">
        <v>43145</v>
      </c>
      <c r="H173" s="12">
        <v>43166</v>
      </c>
      <c r="I173">
        <v>12</v>
      </c>
      <c r="J173" s="12">
        <v>43153</v>
      </c>
      <c r="K173" t="b">
        <v>1</v>
      </c>
      <c r="L173" s="12">
        <v>43146</v>
      </c>
      <c r="M173" t="b">
        <v>0</v>
      </c>
      <c r="N173">
        <v>1</v>
      </c>
      <c r="O173">
        <v>1</v>
      </c>
      <c r="P173" s="19" t="s">
        <v>549</v>
      </c>
      <c r="Q173" s="19" t="s">
        <v>259</v>
      </c>
      <c r="R173" s="19" t="s">
        <v>121</v>
      </c>
      <c r="S173" s="19" t="s">
        <v>125</v>
      </c>
      <c r="T173" s="16">
        <v>74.5</v>
      </c>
      <c r="U173" s="16">
        <v>17.77</v>
      </c>
      <c r="V173" s="16">
        <v>92.27</v>
      </c>
      <c r="W173" s="19" t="s">
        <v>1013</v>
      </c>
      <c r="X173" s="19" t="s">
        <v>265</v>
      </c>
      <c r="Y173" s="12">
        <v>43177</v>
      </c>
      <c r="Z173" s="12">
        <v>43171</v>
      </c>
      <c r="AA173" s="12">
        <v>43177</v>
      </c>
    </row>
    <row r="174" spans="1:27" x14ac:dyDescent="0.25">
      <c r="A174">
        <v>170</v>
      </c>
      <c r="B174" s="19" t="s">
        <v>253</v>
      </c>
      <c r="C174" s="19" t="s">
        <v>254</v>
      </c>
      <c r="D174" s="19" t="s">
        <v>261</v>
      </c>
      <c r="E174" s="19" t="s">
        <v>262</v>
      </c>
      <c r="F174" s="19" t="s">
        <v>550</v>
      </c>
      <c r="G174" s="12">
        <v>43145</v>
      </c>
      <c r="H174" s="12">
        <v>43166</v>
      </c>
      <c r="I174">
        <v>12</v>
      </c>
      <c r="J174" s="12">
        <v>43154</v>
      </c>
      <c r="K174" t="b">
        <v>1</v>
      </c>
      <c r="L174" s="12">
        <v>43147</v>
      </c>
      <c r="M174" t="b">
        <v>0</v>
      </c>
      <c r="N174">
        <v>1</v>
      </c>
      <c r="O174">
        <v>1</v>
      </c>
      <c r="P174" s="19" t="s">
        <v>365</v>
      </c>
      <c r="Q174" s="19" t="s">
        <v>259</v>
      </c>
      <c r="R174" s="19" t="s">
        <v>121</v>
      </c>
      <c r="S174" s="19" t="s">
        <v>122</v>
      </c>
      <c r="T174" s="16">
        <v>89.99</v>
      </c>
      <c r="U174" s="16">
        <v>16.39</v>
      </c>
      <c r="V174" s="16">
        <v>106.38</v>
      </c>
      <c r="W174" s="19" t="s">
        <v>1017</v>
      </c>
      <c r="X174" s="19" t="s">
        <v>265</v>
      </c>
      <c r="Y174" s="12">
        <v>43177</v>
      </c>
      <c r="Z174" s="12">
        <v>43171</v>
      </c>
      <c r="AA174" s="12">
        <v>43177</v>
      </c>
    </row>
    <row r="175" spans="1:27" x14ac:dyDescent="0.25">
      <c r="A175">
        <v>171</v>
      </c>
      <c r="B175" s="19" t="s">
        <v>253</v>
      </c>
      <c r="C175" s="19" t="s">
        <v>254</v>
      </c>
      <c r="D175" s="19" t="s">
        <v>261</v>
      </c>
      <c r="E175" s="19" t="s">
        <v>262</v>
      </c>
      <c r="F175" s="19" t="s">
        <v>551</v>
      </c>
      <c r="G175" s="12">
        <v>43146</v>
      </c>
      <c r="H175" s="12">
        <v>43166</v>
      </c>
      <c r="I175">
        <v>12</v>
      </c>
      <c r="J175" s="12">
        <v>43154</v>
      </c>
      <c r="K175" t="b">
        <v>1</v>
      </c>
      <c r="L175" s="12">
        <v>43148</v>
      </c>
      <c r="M175" t="b">
        <v>0</v>
      </c>
      <c r="N175">
        <v>1</v>
      </c>
      <c r="O175">
        <v>1</v>
      </c>
      <c r="P175" s="19" t="s">
        <v>365</v>
      </c>
      <c r="Q175" s="19" t="s">
        <v>259</v>
      </c>
      <c r="R175" s="19" t="s">
        <v>121</v>
      </c>
      <c r="S175" s="19" t="s">
        <v>125</v>
      </c>
      <c r="T175" s="16">
        <v>89.99</v>
      </c>
      <c r="U175" s="16">
        <v>15.39</v>
      </c>
      <c r="V175" s="16">
        <v>105.38</v>
      </c>
      <c r="W175" s="19" t="s">
        <v>1018</v>
      </c>
      <c r="X175" s="19" t="s">
        <v>265</v>
      </c>
      <c r="Y175" s="12">
        <v>43177</v>
      </c>
      <c r="Z175" s="12">
        <v>43171</v>
      </c>
      <c r="AA175" s="12">
        <v>43177</v>
      </c>
    </row>
    <row r="176" spans="1:27" x14ac:dyDescent="0.25">
      <c r="A176">
        <v>172</v>
      </c>
      <c r="B176" s="19" t="s">
        <v>253</v>
      </c>
      <c r="C176" s="19" t="s">
        <v>254</v>
      </c>
      <c r="D176" s="19" t="s">
        <v>261</v>
      </c>
      <c r="E176" s="19" t="s">
        <v>262</v>
      </c>
      <c r="F176" s="19" t="s">
        <v>552</v>
      </c>
      <c r="G176" s="12">
        <v>43146</v>
      </c>
      <c r="H176" s="12">
        <v>43166</v>
      </c>
      <c r="I176">
        <v>12</v>
      </c>
      <c r="J176" s="12">
        <v>43154</v>
      </c>
      <c r="K176" t="b">
        <v>1</v>
      </c>
      <c r="L176" s="12">
        <v>43147</v>
      </c>
      <c r="M176" t="b">
        <v>0</v>
      </c>
      <c r="N176">
        <v>1</v>
      </c>
      <c r="O176">
        <v>1</v>
      </c>
      <c r="P176" s="19" t="s">
        <v>553</v>
      </c>
      <c r="Q176" s="19" t="s">
        <v>259</v>
      </c>
      <c r="R176" s="19" t="s">
        <v>131</v>
      </c>
      <c r="S176" s="19" t="s">
        <v>121</v>
      </c>
      <c r="T176" s="16">
        <v>52.9</v>
      </c>
      <c r="U176" s="16">
        <v>15.12</v>
      </c>
      <c r="V176" s="16">
        <v>68.02</v>
      </c>
      <c r="W176" s="19" t="s">
        <v>1017</v>
      </c>
      <c r="X176" s="19" t="s">
        <v>265</v>
      </c>
      <c r="Y176" s="12">
        <v>43177</v>
      </c>
      <c r="Z176" s="12">
        <v>43171</v>
      </c>
      <c r="AA176" s="12">
        <v>43177</v>
      </c>
    </row>
    <row r="177" spans="1:27" x14ac:dyDescent="0.25">
      <c r="A177">
        <v>173</v>
      </c>
      <c r="B177" s="19" t="s">
        <v>253</v>
      </c>
      <c r="C177" s="19" t="s">
        <v>254</v>
      </c>
      <c r="D177" s="19" t="s">
        <v>255</v>
      </c>
      <c r="E177" s="19" t="s">
        <v>256</v>
      </c>
      <c r="F177" s="19" t="s">
        <v>554</v>
      </c>
      <c r="G177" s="12">
        <v>43152</v>
      </c>
      <c r="H177" s="12">
        <v>43166</v>
      </c>
      <c r="I177">
        <v>12</v>
      </c>
      <c r="J177" s="12">
        <v>43159</v>
      </c>
      <c r="K177" t="b">
        <v>1</v>
      </c>
      <c r="L177" s="12"/>
      <c r="M177" t="b">
        <v>0</v>
      </c>
      <c r="N177">
        <v>1</v>
      </c>
      <c r="O177">
        <v>1</v>
      </c>
      <c r="P177" s="19" t="s">
        <v>555</v>
      </c>
      <c r="Q177" s="19" t="s">
        <v>259</v>
      </c>
      <c r="R177" s="19" t="s">
        <v>121</v>
      </c>
      <c r="S177" s="19" t="s">
        <v>121</v>
      </c>
      <c r="T177" s="16">
        <v>39.99</v>
      </c>
      <c r="U177" s="16">
        <v>9.34</v>
      </c>
      <c r="V177" s="16">
        <v>49.33</v>
      </c>
      <c r="W177" s="19" t="s">
        <v>1020</v>
      </c>
      <c r="X177" s="19" t="s">
        <v>260</v>
      </c>
      <c r="Y177" s="12">
        <v>43177</v>
      </c>
      <c r="Z177" s="12">
        <v>43171</v>
      </c>
      <c r="AA177" s="12">
        <v>43177</v>
      </c>
    </row>
    <row r="178" spans="1:27" x14ac:dyDescent="0.25">
      <c r="A178">
        <v>174</v>
      </c>
      <c r="B178" s="19" t="s">
        <v>253</v>
      </c>
      <c r="C178" s="19" t="s">
        <v>254</v>
      </c>
      <c r="D178" s="19" t="s">
        <v>556</v>
      </c>
      <c r="E178" s="19" t="s">
        <v>557</v>
      </c>
      <c r="F178" s="19" t="s">
        <v>558</v>
      </c>
      <c r="G178" s="12">
        <v>43144</v>
      </c>
      <c r="H178" s="12">
        <v>43166</v>
      </c>
      <c r="I178">
        <v>12</v>
      </c>
      <c r="J178" s="12"/>
      <c r="K178" t="b">
        <v>0</v>
      </c>
      <c r="L178" s="12"/>
      <c r="M178" t="b">
        <v>0</v>
      </c>
      <c r="N178">
        <v>0</v>
      </c>
      <c r="O178">
        <v>0</v>
      </c>
      <c r="P178" s="19" t="s">
        <v>172</v>
      </c>
      <c r="Q178" s="19" t="s">
        <v>285</v>
      </c>
      <c r="R178" s="19" t="s">
        <v>172</v>
      </c>
      <c r="S178" s="19" t="s">
        <v>121</v>
      </c>
      <c r="T178" s="16">
        <v>0</v>
      </c>
      <c r="U178" s="16">
        <v>0</v>
      </c>
      <c r="V178" s="16">
        <v>51.75</v>
      </c>
      <c r="W178" s="19" t="s">
        <v>1021</v>
      </c>
      <c r="X178" s="19" t="s">
        <v>559</v>
      </c>
      <c r="Y178" s="12">
        <v>43177</v>
      </c>
      <c r="Z178" s="12">
        <v>43171</v>
      </c>
      <c r="AA178" s="12">
        <v>43177</v>
      </c>
    </row>
    <row r="179" spans="1:27" x14ac:dyDescent="0.25">
      <c r="A179">
        <v>175</v>
      </c>
      <c r="B179" s="19" t="s">
        <v>253</v>
      </c>
      <c r="C179" s="19" t="s">
        <v>254</v>
      </c>
      <c r="D179" s="19" t="s">
        <v>556</v>
      </c>
      <c r="E179" s="19" t="s">
        <v>557</v>
      </c>
      <c r="F179" s="19" t="s">
        <v>560</v>
      </c>
      <c r="G179" s="12">
        <v>43140</v>
      </c>
      <c r="H179" s="12">
        <v>43166</v>
      </c>
      <c r="I179">
        <v>12</v>
      </c>
      <c r="J179" s="12"/>
      <c r="K179" t="b">
        <v>0</v>
      </c>
      <c r="L179" s="12"/>
      <c r="M179" t="b">
        <v>0</v>
      </c>
      <c r="N179">
        <v>0</v>
      </c>
      <c r="O179">
        <v>0</v>
      </c>
      <c r="P179" s="19" t="s">
        <v>172</v>
      </c>
      <c r="Q179" s="19" t="s">
        <v>285</v>
      </c>
      <c r="R179" s="19" t="s">
        <v>172</v>
      </c>
      <c r="S179" s="19" t="s">
        <v>133</v>
      </c>
      <c r="T179" s="16">
        <v>0</v>
      </c>
      <c r="U179" s="16">
        <v>0</v>
      </c>
      <c r="V179" s="16">
        <v>137.6</v>
      </c>
      <c r="W179" s="19" t="s">
        <v>1022</v>
      </c>
      <c r="X179" s="19" t="s">
        <v>559</v>
      </c>
      <c r="Y179" s="12">
        <v>43177</v>
      </c>
      <c r="Z179" s="12">
        <v>43171</v>
      </c>
      <c r="AA179" s="12">
        <v>43177</v>
      </c>
    </row>
    <row r="180" spans="1:27" x14ac:dyDescent="0.25">
      <c r="A180">
        <v>176</v>
      </c>
      <c r="B180" s="19" t="s">
        <v>253</v>
      </c>
      <c r="C180" s="19" t="s">
        <v>254</v>
      </c>
      <c r="D180" s="19" t="s">
        <v>261</v>
      </c>
      <c r="E180" s="19" t="s">
        <v>262</v>
      </c>
      <c r="F180" s="19" t="s">
        <v>561</v>
      </c>
      <c r="G180" s="12">
        <v>43133</v>
      </c>
      <c r="H180" s="12">
        <v>43167</v>
      </c>
      <c r="I180">
        <v>11</v>
      </c>
      <c r="J180" s="12">
        <v>43139</v>
      </c>
      <c r="K180" t="b">
        <v>1</v>
      </c>
      <c r="L180" s="12">
        <v>43139</v>
      </c>
      <c r="M180" t="b">
        <v>0</v>
      </c>
      <c r="N180">
        <v>1</v>
      </c>
      <c r="O180">
        <v>1</v>
      </c>
      <c r="P180" s="19" t="s">
        <v>562</v>
      </c>
      <c r="Q180" s="19" t="s">
        <v>259</v>
      </c>
      <c r="R180" s="19" t="s">
        <v>129</v>
      </c>
      <c r="S180" s="19" t="s">
        <v>160</v>
      </c>
      <c r="T180" s="16">
        <v>280</v>
      </c>
      <c r="U180" s="16">
        <v>27.24</v>
      </c>
      <c r="V180" s="16">
        <v>307.24</v>
      </c>
      <c r="W180" s="19" t="s">
        <v>1023</v>
      </c>
      <c r="X180" s="19" t="s">
        <v>265</v>
      </c>
      <c r="Y180" s="12">
        <v>43177</v>
      </c>
      <c r="Z180" s="12">
        <v>43171</v>
      </c>
      <c r="AA180" s="12">
        <v>43177</v>
      </c>
    </row>
    <row r="181" spans="1:27" x14ac:dyDescent="0.25">
      <c r="A181">
        <v>177</v>
      </c>
      <c r="B181" s="19" t="s">
        <v>253</v>
      </c>
      <c r="C181" s="19" t="s">
        <v>254</v>
      </c>
      <c r="D181" s="19" t="s">
        <v>261</v>
      </c>
      <c r="E181" s="19" t="s">
        <v>262</v>
      </c>
      <c r="F181" s="19" t="s">
        <v>563</v>
      </c>
      <c r="G181" s="12">
        <v>43134</v>
      </c>
      <c r="H181" s="12">
        <v>43167</v>
      </c>
      <c r="I181">
        <v>11</v>
      </c>
      <c r="J181" s="12">
        <v>43139</v>
      </c>
      <c r="K181" t="b">
        <v>1</v>
      </c>
      <c r="L181" s="12">
        <v>43136</v>
      </c>
      <c r="M181" t="b">
        <v>0</v>
      </c>
      <c r="N181">
        <v>1</v>
      </c>
      <c r="O181">
        <v>1</v>
      </c>
      <c r="P181" s="19" t="s">
        <v>499</v>
      </c>
      <c r="Q181" s="19" t="s">
        <v>259</v>
      </c>
      <c r="R181" s="19" t="s">
        <v>121</v>
      </c>
      <c r="S181" s="19" t="s">
        <v>152</v>
      </c>
      <c r="T181" s="16">
        <v>262.5</v>
      </c>
      <c r="U181" s="16">
        <v>163.86</v>
      </c>
      <c r="V181" s="16">
        <v>426.36</v>
      </c>
      <c r="W181" s="19" t="s">
        <v>1024</v>
      </c>
      <c r="X181" s="19" t="s">
        <v>265</v>
      </c>
      <c r="Y181" s="12">
        <v>43177</v>
      </c>
      <c r="Z181" s="12">
        <v>43171</v>
      </c>
      <c r="AA181" s="12">
        <v>43177</v>
      </c>
    </row>
    <row r="182" spans="1:27" x14ac:dyDescent="0.25">
      <c r="A182">
        <v>178</v>
      </c>
      <c r="B182" s="19" t="s">
        <v>253</v>
      </c>
      <c r="C182" s="19" t="s">
        <v>254</v>
      </c>
      <c r="D182" s="19" t="s">
        <v>261</v>
      </c>
      <c r="E182" s="19" t="s">
        <v>262</v>
      </c>
      <c r="F182" s="19" t="s">
        <v>564</v>
      </c>
      <c r="G182" s="12">
        <v>43133</v>
      </c>
      <c r="H182" s="12">
        <v>43167</v>
      </c>
      <c r="I182">
        <v>11</v>
      </c>
      <c r="J182" s="12">
        <v>43140</v>
      </c>
      <c r="K182" t="b">
        <v>1</v>
      </c>
      <c r="L182" s="12">
        <v>43147</v>
      </c>
      <c r="M182" t="b">
        <v>0</v>
      </c>
      <c r="N182">
        <v>3</v>
      </c>
      <c r="O182">
        <v>1</v>
      </c>
      <c r="P182" s="19" t="s">
        <v>312</v>
      </c>
      <c r="Q182" s="19" t="s">
        <v>259</v>
      </c>
      <c r="R182" s="19" t="s">
        <v>121</v>
      </c>
      <c r="S182" s="19" t="s">
        <v>125</v>
      </c>
      <c r="T182" s="16">
        <v>806.97</v>
      </c>
      <c r="U182" s="16">
        <v>49.89</v>
      </c>
      <c r="V182" s="16">
        <v>856.86</v>
      </c>
      <c r="W182" s="19" t="s">
        <v>1025</v>
      </c>
      <c r="X182" s="19" t="s">
        <v>265</v>
      </c>
      <c r="Y182" s="12">
        <v>43177</v>
      </c>
      <c r="Z182" s="12">
        <v>43171</v>
      </c>
      <c r="AA182" s="12">
        <v>43177</v>
      </c>
    </row>
    <row r="183" spans="1:27" x14ac:dyDescent="0.25">
      <c r="A183">
        <v>179</v>
      </c>
      <c r="B183" s="19" t="s">
        <v>253</v>
      </c>
      <c r="C183" s="19" t="s">
        <v>254</v>
      </c>
      <c r="D183" s="19" t="s">
        <v>261</v>
      </c>
      <c r="E183" s="19" t="s">
        <v>262</v>
      </c>
      <c r="F183" s="19" t="s">
        <v>565</v>
      </c>
      <c r="G183" s="12">
        <v>43136</v>
      </c>
      <c r="H183" s="12">
        <v>43167</v>
      </c>
      <c r="I183">
        <v>11</v>
      </c>
      <c r="J183" s="12">
        <v>43140</v>
      </c>
      <c r="K183" t="b">
        <v>1</v>
      </c>
      <c r="L183" s="12">
        <v>43137</v>
      </c>
      <c r="M183" t="b">
        <v>0</v>
      </c>
      <c r="N183">
        <v>1</v>
      </c>
      <c r="O183">
        <v>1</v>
      </c>
      <c r="P183" s="19" t="s">
        <v>566</v>
      </c>
      <c r="Q183" s="19" t="s">
        <v>259</v>
      </c>
      <c r="R183" s="19" t="s">
        <v>133</v>
      </c>
      <c r="S183" s="19" t="s">
        <v>152</v>
      </c>
      <c r="T183" s="16">
        <v>89.9</v>
      </c>
      <c r="U183" s="16">
        <v>34.43</v>
      </c>
      <c r="V183" s="16">
        <v>124.33</v>
      </c>
      <c r="W183" s="19" t="s">
        <v>1026</v>
      </c>
      <c r="X183" s="19" t="s">
        <v>265</v>
      </c>
      <c r="Y183" s="12">
        <v>43177</v>
      </c>
      <c r="Z183" s="12">
        <v>43171</v>
      </c>
      <c r="AA183" s="12">
        <v>43177</v>
      </c>
    </row>
    <row r="184" spans="1:27" x14ac:dyDescent="0.25">
      <c r="A184">
        <v>180</v>
      </c>
      <c r="B184" s="19" t="s">
        <v>253</v>
      </c>
      <c r="C184" s="19" t="s">
        <v>254</v>
      </c>
      <c r="D184" s="19" t="s">
        <v>261</v>
      </c>
      <c r="E184" s="19" t="s">
        <v>262</v>
      </c>
      <c r="F184" s="19" t="s">
        <v>567</v>
      </c>
      <c r="G184" s="12">
        <v>43138</v>
      </c>
      <c r="H184" s="12">
        <v>43167</v>
      </c>
      <c r="I184">
        <v>11</v>
      </c>
      <c r="J184" s="12">
        <v>43144</v>
      </c>
      <c r="K184" t="b">
        <v>1</v>
      </c>
      <c r="L184" s="12">
        <v>43158</v>
      </c>
      <c r="M184" t="b">
        <v>0</v>
      </c>
      <c r="N184">
        <v>1</v>
      </c>
      <c r="O184">
        <v>1</v>
      </c>
      <c r="P184" s="19" t="s">
        <v>568</v>
      </c>
      <c r="Q184" s="19" t="s">
        <v>259</v>
      </c>
      <c r="R184" s="19" t="s">
        <v>121</v>
      </c>
      <c r="S184" s="19" t="s">
        <v>131</v>
      </c>
      <c r="T184" s="16">
        <v>269.89999999999998</v>
      </c>
      <c r="U184" s="16">
        <v>19.14</v>
      </c>
      <c r="V184" s="16">
        <v>289.04000000000002</v>
      </c>
      <c r="W184" s="19" t="s">
        <v>1027</v>
      </c>
      <c r="X184" s="19" t="s">
        <v>265</v>
      </c>
      <c r="Y184" s="12">
        <v>43177</v>
      </c>
      <c r="Z184" s="12">
        <v>43171</v>
      </c>
      <c r="AA184" s="12">
        <v>43177</v>
      </c>
    </row>
    <row r="185" spans="1:27" x14ac:dyDescent="0.25">
      <c r="A185">
        <v>181</v>
      </c>
      <c r="B185" s="19" t="s">
        <v>253</v>
      </c>
      <c r="C185" s="19" t="s">
        <v>254</v>
      </c>
      <c r="D185" s="19" t="s">
        <v>261</v>
      </c>
      <c r="E185" s="19" t="s">
        <v>262</v>
      </c>
      <c r="F185" s="19" t="s">
        <v>569</v>
      </c>
      <c r="G185" s="12">
        <v>43138</v>
      </c>
      <c r="H185" s="12">
        <v>43167</v>
      </c>
      <c r="I185">
        <v>11</v>
      </c>
      <c r="J185" s="12">
        <v>43144</v>
      </c>
      <c r="K185" t="b">
        <v>1</v>
      </c>
      <c r="L185" s="12">
        <v>43138</v>
      </c>
      <c r="M185" t="b">
        <v>0</v>
      </c>
      <c r="N185">
        <v>1</v>
      </c>
      <c r="O185">
        <v>1</v>
      </c>
      <c r="P185" s="19" t="s">
        <v>570</v>
      </c>
      <c r="Q185" s="19" t="s">
        <v>259</v>
      </c>
      <c r="R185" s="19" t="s">
        <v>121</v>
      </c>
      <c r="S185" s="19" t="s">
        <v>129</v>
      </c>
      <c r="T185" s="16">
        <v>56.99</v>
      </c>
      <c r="U185" s="16">
        <v>16.97</v>
      </c>
      <c r="V185" s="16">
        <v>73.959999999999994</v>
      </c>
      <c r="W185" s="19" t="s">
        <v>1028</v>
      </c>
      <c r="X185" s="19" t="s">
        <v>265</v>
      </c>
      <c r="Y185" s="12">
        <v>43177</v>
      </c>
      <c r="Z185" s="12">
        <v>43171</v>
      </c>
      <c r="AA185" s="12">
        <v>43177</v>
      </c>
    </row>
    <row r="186" spans="1:27" x14ac:dyDescent="0.25">
      <c r="A186">
        <v>182</v>
      </c>
      <c r="B186" s="19" t="s">
        <v>253</v>
      </c>
      <c r="C186" s="19" t="s">
        <v>254</v>
      </c>
      <c r="D186" s="19" t="s">
        <v>261</v>
      </c>
      <c r="E186" s="19" t="s">
        <v>262</v>
      </c>
      <c r="F186" s="19" t="s">
        <v>571</v>
      </c>
      <c r="G186" s="12">
        <v>43138</v>
      </c>
      <c r="H186" s="12">
        <v>43167</v>
      </c>
      <c r="I186">
        <v>11</v>
      </c>
      <c r="J186" s="12">
        <v>43144</v>
      </c>
      <c r="K186" t="b">
        <v>1</v>
      </c>
      <c r="L186" s="12">
        <v>43141</v>
      </c>
      <c r="M186" t="b">
        <v>0</v>
      </c>
      <c r="N186">
        <v>1</v>
      </c>
      <c r="O186">
        <v>1</v>
      </c>
      <c r="P186" s="19" t="s">
        <v>481</v>
      </c>
      <c r="Q186" s="19" t="s">
        <v>259</v>
      </c>
      <c r="R186" s="19" t="s">
        <v>121</v>
      </c>
      <c r="S186" s="19" t="s">
        <v>131</v>
      </c>
      <c r="T186" s="16">
        <v>24.9</v>
      </c>
      <c r="U186" s="16">
        <v>15.1</v>
      </c>
      <c r="V186" s="16">
        <v>40</v>
      </c>
      <c r="W186" s="19" t="s">
        <v>1029</v>
      </c>
      <c r="X186" s="19" t="s">
        <v>265</v>
      </c>
      <c r="Y186" s="12">
        <v>43177</v>
      </c>
      <c r="Z186" s="12">
        <v>43171</v>
      </c>
      <c r="AA186" s="12">
        <v>43177</v>
      </c>
    </row>
    <row r="187" spans="1:27" x14ac:dyDescent="0.25">
      <c r="A187">
        <v>183</v>
      </c>
      <c r="B187" s="19" t="s">
        <v>253</v>
      </c>
      <c r="C187" s="19" t="s">
        <v>254</v>
      </c>
      <c r="D187" s="19" t="s">
        <v>261</v>
      </c>
      <c r="E187" s="19" t="s">
        <v>262</v>
      </c>
      <c r="F187" s="19" t="s">
        <v>572</v>
      </c>
      <c r="G187" s="12">
        <v>43136</v>
      </c>
      <c r="H187" s="12">
        <v>43167</v>
      </c>
      <c r="I187">
        <v>11</v>
      </c>
      <c r="J187" s="12">
        <v>43145</v>
      </c>
      <c r="K187" t="b">
        <v>1</v>
      </c>
      <c r="L187" s="12">
        <v>43140</v>
      </c>
      <c r="M187" t="b">
        <v>0</v>
      </c>
      <c r="N187">
        <v>1</v>
      </c>
      <c r="O187">
        <v>1</v>
      </c>
      <c r="P187" s="19" t="s">
        <v>573</v>
      </c>
      <c r="Q187" s="19" t="s">
        <v>259</v>
      </c>
      <c r="R187" s="19" t="s">
        <v>135</v>
      </c>
      <c r="S187" s="19" t="s">
        <v>178</v>
      </c>
      <c r="T187" s="16">
        <v>899</v>
      </c>
      <c r="U187" s="16">
        <v>41.65</v>
      </c>
      <c r="V187" s="16">
        <v>940.65</v>
      </c>
      <c r="W187" s="19" t="s">
        <v>1030</v>
      </c>
      <c r="X187" s="19" t="s">
        <v>265</v>
      </c>
      <c r="Y187" s="12">
        <v>43177</v>
      </c>
      <c r="Z187" s="12">
        <v>43171</v>
      </c>
      <c r="AA187" s="12">
        <v>43177</v>
      </c>
    </row>
    <row r="188" spans="1:27" x14ac:dyDescent="0.25">
      <c r="A188">
        <v>184</v>
      </c>
      <c r="B188" s="19" t="s">
        <v>253</v>
      </c>
      <c r="C188" s="19" t="s">
        <v>254</v>
      </c>
      <c r="D188" s="19" t="s">
        <v>255</v>
      </c>
      <c r="E188" s="19" t="s">
        <v>256</v>
      </c>
      <c r="F188" s="19" t="s">
        <v>574</v>
      </c>
      <c r="G188" s="12">
        <v>43139</v>
      </c>
      <c r="H188" s="12">
        <v>43167</v>
      </c>
      <c r="I188">
        <v>11</v>
      </c>
      <c r="J188" s="12">
        <v>43145</v>
      </c>
      <c r="K188" t="b">
        <v>1</v>
      </c>
      <c r="L188" s="12"/>
      <c r="M188" t="b">
        <v>0</v>
      </c>
      <c r="N188">
        <v>1</v>
      </c>
      <c r="O188">
        <v>1</v>
      </c>
      <c r="P188" s="19" t="s">
        <v>371</v>
      </c>
      <c r="Q188" s="19" t="s">
        <v>259</v>
      </c>
      <c r="R188" s="19" t="s">
        <v>121</v>
      </c>
      <c r="S188" s="19" t="s">
        <v>129</v>
      </c>
      <c r="T188" s="16">
        <v>65</v>
      </c>
      <c r="U188" s="16">
        <v>16.89</v>
      </c>
      <c r="V188" s="16">
        <v>81.89</v>
      </c>
      <c r="W188" s="19" t="s">
        <v>1031</v>
      </c>
      <c r="X188" s="19" t="s">
        <v>260</v>
      </c>
      <c r="Y188" s="12">
        <v>43177</v>
      </c>
      <c r="Z188" s="12">
        <v>43171</v>
      </c>
      <c r="AA188" s="12">
        <v>43177</v>
      </c>
    </row>
    <row r="189" spans="1:27" x14ac:dyDescent="0.25">
      <c r="A189">
        <v>185</v>
      </c>
      <c r="B189" s="19" t="s">
        <v>253</v>
      </c>
      <c r="C189" s="19" t="s">
        <v>254</v>
      </c>
      <c r="D189" s="19" t="s">
        <v>261</v>
      </c>
      <c r="E189" s="19" t="s">
        <v>262</v>
      </c>
      <c r="F189" s="19" t="s">
        <v>575</v>
      </c>
      <c r="G189" s="12">
        <v>43140</v>
      </c>
      <c r="H189" s="12">
        <v>43167</v>
      </c>
      <c r="I189">
        <v>11</v>
      </c>
      <c r="J189" s="12">
        <v>43145</v>
      </c>
      <c r="K189" t="b">
        <v>1</v>
      </c>
      <c r="L189" s="12">
        <v>43145</v>
      </c>
      <c r="M189" t="b">
        <v>0</v>
      </c>
      <c r="N189">
        <v>1</v>
      </c>
      <c r="O189">
        <v>1</v>
      </c>
      <c r="P189" s="19" t="s">
        <v>264</v>
      </c>
      <c r="Q189" s="19" t="s">
        <v>259</v>
      </c>
      <c r="R189" s="19" t="s">
        <v>121</v>
      </c>
      <c r="S189" s="19" t="s">
        <v>122</v>
      </c>
      <c r="T189" s="16">
        <v>46.9</v>
      </c>
      <c r="U189" s="16">
        <v>15.1</v>
      </c>
      <c r="V189" s="16">
        <v>62</v>
      </c>
      <c r="W189" s="19" t="s">
        <v>1032</v>
      </c>
      <c r="X189" s="19" t="s">
        <v>265</v>
      </c>
      <c r="Y189" s="12">
        <v>43177</v>
      </c>
      <c r="Z189" s="12">
        <v>43171</v>
      </c>
      <c r="AA189" s="12">
        <v>43177</v>
      </c>
    </row>
    <row r="190" spans="1:27" x14ac:dyDescent="0.25">
      <c r="A190">
        <v>186</v>
      </c>
      <c r="B190" s="19" t="s">
        <v>253</v>
      </c>
      <c r="C190" s="19" t="s">
        <v>254</v>
      </c>
      <c r="D190" s="19" t="s">
        <v>261</v>
      </c>
      <c r="E190" s="19" t="s">
        <v>262</v>
      </c>
      <c r="F190" s="19" t="s">
        <v>576</v>
      </c>
      <c r="G190" s="12">
        <v>43141</v>
      </c>
      <c r="H190" s="12">
        <v>43167</v>
      </c>
      <c r="I190">
        <v>11</v>
      </c>
      <c r="J190" s="12">
        <v>43146</v>
      </c>
      <c r="K190" t="b">
        <v>1</v>
      </c>
      <c r="L190" s="12">
        <v>43152</v>
      </c>
      <c r="M190" t="b">
        <v>0</v>
      </c>
      <c r="N190">
        <v>3</v>
      </c>
      <c r="O190">
        <v>1</v>
      </c>
      <c r="P190" s="19" t="s">
        <v>577</v>
      </c>
      <c r="Q190" s="19" t="s">
        <v>259</v>
      </c>
      <c r="R190" s="19" t="s">
        <v>121</v>
      </c>
      <c r="S190" s="19" t="s">
        <v>131</v>
      </c>
      <c r="T190" s="16">
        <v>116.7</v>
      </c>
      <c r="U190" s="16">
        <v>52.8</v>
      </c>
      <c r="V190" s="16">
        <v>169.5</v>
      </c>
      <c r="W190" s="19" t="s">
        <v>1033</v>
      </c>
      <c r="X190" s="19" t="s">
        <v>265</v>
      </c>
      <c r="Y190" s="12">
        <v>43177</v>
      </c>
      <c r="Z190" s="12">
        <v>43171</v>
      </c>
      <c r="AA190" s="12">
        <v>43177</v>
      </c>
    </row>
    <row r="191" spans="1:27" x14ac:dyDescent="0.25">
      <c r="A191">
        <v>187</v>
      </c>
      <c r="B191" s="19" t="s">
        <v>253</v>
      </c>
      <c r="C191" s="19" t="s">
        <v>254</v>
      </c>
      <c r="D191" s="19" t="s">
        <v>261</v>
      </c>
      <c r="E191" s="19" t="s">
        <v>262</v>
      </c>
      <c r="F191" s="19" t="s">
        <v>578</v>
      </c>
      <c r="G191" s="12">
        <v>43143</v>
      </c>
      <c r="H191" s="12">
        <v>43167</v>
      </c>
      <c r="I191">
        <v>11</v>
      </c>
      <c r="J191" s="12">
        <v>43147</v>
      </c>
      <c r="K191" t="b">
        <v>1</v>
      </c>
      <c r="L191" s="12">
        <v>43153</v>
      </c>
      <c r="M191" t="b">
        <v>0</v>
      </c>
      <c r="N191">
        <v>1</v>
      </c>
      <c r="O191">
        <v>1</v>
      </c>
      <c r="P191" s="19" t="s">
        <v>577</v>
      </c>
      <c r="Q191" s="19" t="s">
        <v>259</v>
      </c>
      <c r="R191" s="19" t="s">
        <v>121</v>
      </c>
      <c r="S191" s="19" t="s">
        <v>122</v>
      </c>
      <c r="T191" s="16">
        <v>12.9</v>
      </c>
      <c r="U191" s="16">
        <v>15.1</v>
      </c>
      <c r="V191" s="16">
        <v>28</v>
      </c>
      <c r="W191" s="19" t="s">
        <v>1034</v>
      </c>
      <c r="X191" s="19" t="s">
        <v>265</v>
      </c>
      <c r="Y191" s="12">
        <v>43177</v>
      </c>
      <c r="Z191" s="12">
        <v>43171</v>
      </c>
      <c r="AA191" s="12">
        <v>43177</v>
      </c>
    </row>
    <row r="192" spans="1:27" x14ac:dyDescent="0.25">
      <c r="A192">
        <v>188</v>
      </c>
      <c r="B192" s="19" t="s">
        <v>253</v>
      </c>
      <c r="C192" s="19" t="s">
        <v>254</v>
      </c>
      <c r="D192" s="19" t="s">
        <v>255</v>
      </c>
      <c r="E192" s="19" t="s">
        <v>256</v>
      </c>
      <c r="F192" s="19" t="s">
        <v>579</v>
      </c>
      <c r="G192" s="12">
        <v>43140</v>
      </c>
      <c r="H192" s="12">
        <v>43167</v>
      </c>
      <c r="I192">
        <v>11</v>
      </c>
      <c r="J192" s="12">
        <v>43150</v>
      </c>
      <c r="K192" t="b">
        <v>1</v>
      </c>
      <c r="L192" s="12"/>
      <c r="M192" t="b">
        <v>0</v>
      </c>
      <c r="N192">
        <v>1</v>
      </c>
      <c r="O192">
        <v>1</v>
      </c>
      <c r="P192" s="19" t="s">
        <v>580</v>
      </c>
      <c r="Q192" s="19" t="s">
        <v>259</v>
      </c>
      <c r="R192" s="19" t="s">
        <v>121</v>
      </c>
      <c r="S192" s="19" t="s">
        <v>122</v>
      </c>
      <c r="T192" s="16">
        <v>129</v>
      </c>
      <c r="U192" s="16">
        <v>86.06</v>
      </c>
      <c r="V192" s="16">
        <v>215.06</v>
      </c>
      <c r="W192" s="19" t="s">
        <v>1035</v>
      </c>
      <c r="X192" s="19" t="s">
        <v>260</v>
      </c>
      <c r="Y192" s="12">
        <v>43177</v>
      </c>
      <c r="Z192" s="12">
        <v>43171</v>
      </c>
      <c r="AA192" s="12">
        <v>43177</v>
      </c>
    </row>
    <row r="193" spans="1:27" x14ac:dyDescent="0.25">
      <c r="A193">
        <v>189</v>
      </c>
      <c r="B193" s="19" t="s">
        <v>253</v>
      </c>
      <c r="C193" s="19" t="s">
        <v>254</v>
      </c>
      <c r="D193" s="19" t="s">
        <v>261</v>
      </c>
      <c r="E193" s="19" t="s">
        <v>262</v>
      </c>
      <c r="F193" s="19" t="s">
        <v>581</v>
      </c>
      <c r="G193" s="12">
        <v>43144</v>
      </c>
      <c r="H193" s="12">
        <v>43167</v>
      </c>
      <c r="I193">
        <v>11</v>
      </c>
      <c r="J193" s="12">
        <v>43150</v>
      </c>
      <c r="K193" t="b">
        <v>1</v>
      </c>
      <c r="L193" s="12">
        <v>43169</v>
      </c>
      <c r="M193" t="b">
        <v>0</v>
      </c>
      <c r="N193">
        <v>1</v>
      </c>
      <c r="O193">
        <v>1</v>
      </c>
      <c r="P193" s="19" t="s">
        <v>582</v>
      </c>
      <c r="Q193" s="19" t="s">
        <v>259</v>
      </c>
      <c r="R193" s="19" t="s">
        <v>131</v>
      </c>
      <c r="S193" s="19" t="s">
        <v>121</v>
      </c>
      <c r="T193" s="16">
        <v>99.89</v>
      </c>
      <c r="U193" s="16">
        <v>25.54</v>
      </c>
      <c r="V193" s="16">
        <v>125.43</v>
      </c>
      <c r="W193" s="19" t="s">
        <v>1036</v>
      </c>
      <c r="X193" s="19" t="s">
        <v>265</v>
      </c>
      <c r="Y193" s="12">
        <v>43177</v>
      </c>
      <c r="Z193" s="12">
        <v>43171</v>
      </c>
      <c r="AA193" s="12">
        <v>43177</v>
      </c>
    </row>
    <row r="194" spans="1:27" x14ac:dyDescent="0.25">
      <c r="A194">
        <v>190</v>
      </c>
      <c r="B194" s="19" t="s">
        <v>253</v>
      </c>
      <c r="C194" s="19" t="s">
        <v>254</v>
      </c>
      <c r="D194" s="19" t="s">
        <v>261</v>
      </c>
      <c r="E194" s="19" t="s">
        <v>262</v>
      </c>
      <c r="F194" s="19" t="s">
        <v>583</v>
      </c>
      <c r="G194" s="12">
        <v>43145</v>
      </c>
      <c r="H194" s="12">
        <v>43167</v>
      </c>
      <c r="I194">
        <v>11</v>
      </c>
      <c r="J194" s="12">
        <v>43151</v>
      </c>
      <c r="K194" t="b">
        <v>1</v>
      </c>
      <c r="L194" s="12">
        <v>43164</v>
      </c>
      <c r="M194" t="b">
        <v>0</v>
      </c>
      <c r="N194">
        <v>1</v>
      </c>
      <c r="O194">
        <v>1</v>
      </c>
      <c r="P194" s="19" t="s">
        <v>582</v>
      </c>
      <c r="Q194" s="19" t="s">
        <v>259</v>
      </c>
      <c r="R194" s="19" t="s">
        <v>131</v>
      </c>
      <c r="S194" s="19" t="s">
        <v>122</v>
      </c>
      <c r="T194" s="16">
        <v>329.9</v>
      </c>
      <c r="U194" s="16">
        <v>50.84</v>
      </c>
      <c r="V194" s="16">
        <v>380.74</v>
      </c>
      <c r="W194" s="19" t="s">
        <v>1037</v>
      </c>
      <c r="X194" s="19" t="s">
        <v>265</v>
      </c>
      <c r="Y194" s="12">
        <v>43177</v>
      </c>
      <c r="Z194" s="12">
        <v>43171</v>
      </c>
      <c r="AA194" s="12">
        <v>43177</v>
      </c>
    </row>
    <row r="195" spans="1:27" x14ac:dyDescent="0.25">
      <c r="A195">
        <v>191</v>
      </c>
      <c r="B195" s="19" t="s">
        <v>253</v>
      </c>
      <c r="C195" s="19" t="s">
        <v>254</v>
      </c>
      <c r="D195" s="19" t="s">
        <v>261</v>
      </c>
      <c r="E195" s="19" t="s">
        <v>262</v>
      </c>
      <c r="F195" s="19" t="s">
        <v>584</v>
      </c>
      <c r="G195" s="12">
        <v>43145</v>
      </c>
      <c r="H195" s="12">
        <v>43167</v>
      </c>
      <c r="I195">
        <v>11</v>
      </c>
      <c r="J195" s="12">
        <v>43151</v>
      </c>
      <c r="K195" t="b">
        <v>1</v>
      </c>
      <c r="L195" s="12">
        <v>43150</v>
      </c>
      <c r="M195" t="b">
        <v>0</v>
      </c>
      <c r="N195">
        <v>1</v>
      </c>
      <c r="O195">
        <v>1</v>
      </c>
      <c r="P195" s="19" t="s">
        <v>585</v>
      </c>
      <c r="Q195" s="19" t="s">
        <v>259</v>
      </c>
      <c r="R195" s="19" t="s">
        <v>121</v>
      </c>
      <c r="S195" s="19" t="s">
        <v>133</v>
      </c>
      <c r="T195" s="16">
        <v>229.9</v>
      </c>
      <c r="U195" s="16">
        <v>17.86</v>
      </c>
      <c r="V195" s="16">
        <v>247.76</v>
      </c>
      <c r="W195" s="19" t="s">
        <v>1038</v>
      </c>
      <c r="X195" s="19" t="s">
        <v>265</v>
      </c>
      <c r="Y195" s="12">
        <v>43177</v>
      </c>
      <c r="Z195" s="12">
        <v>43171</v>
      </c>
      <c r="AA195" s="12">
        <v>43177</v>
      </c>
    </row>
    <row r="196" spans="1:27" x14ac:dyDescent="0.25">
      <c r="A196">
        <v>192</v>
      </c>
      <c r="B196" s="19" t="s">
        <v>253</v>
      </c>
      <c r="C196" s="19" t="s">
        <v>254</v>
      </c>
      <c r="D196" s="19" t="s">
        <v>261</v>
      </c>
      <c r="E196" s="19" t="s">
        <v>262</v>
      </c>
      <c r="F196" s="19" t="s">
        <v>586</v>
      </c>
      <c r="G196" s="12">
        <v>43133</v>
      </c>
      <c r="H196" s="12">
        <v>43167</v>
      </c>
      <c r="I196">
        <v>11</v>
      </c>
      <c r="J196" s="12">
        <v>43151</v>
      </c>
      <c r="K196" t="b">
        <v>1</v>
      </c>
      <c r="L196" s="12">
        <v>43138</v>
      </c>
      <c r="M196" t="b">
        <v>0</v>
      </c>
      <c r="N196">
        <v>1</v>
      </c>
      <c r="O196">
        <v>1</v>
      </c>
      <c r="P196" s="19" t="s">
        <v>587</v>
      </c>
      <c r="Q196" s="19" t="s">
        <v>259</v>
      </c>
      <c r="R196" s="19" t="s">
        <v>121</v>
      </c>
      <c r="S196" s="19" t="s">
        <v>122</v>
      </c>
      <c r="T196" s="16">
        <v>26.18</v>
      </c>
      <c r="U196" s="16">
        <v>16.600000000000001</v>
      </c>
      <c r="V196" s="16">
        <v>42.78</v>
      </c>
      <c r="W196" s="19" t="s">
        <v>1028</v>
      </c>
      <c r="X196" s="19" t="s">
        <v>265</v>
      </c>
      <c r="Y196" s="12">
        <v>43177</v>
      </c>
      <c r="Z196" s="12">
        <v>43171</v>
      </c>
      <c r="AA196" s="12">
        <v>43177</v>
      </c>
    </row>
    <row r="197" spans="1:27" x14ac:dyDescent="0.25">
      <c r="A197">
        <v>193</v>
      </c>
      <c r="B197" s="19" t="s">
        <v>253</v>
      </c>
      <c r="C197" s="19" t="s">
        <v>254</v>
      </c>
      <c r="D197" s="19" t="s">
        <v>261</v>
      </c>
      <c r="E197" s="19" t="s">
        <v>262</v>
      </c>
      <c r="F197" s="19" t="s">
        <v>588</v>
      </c>
      <c r="G197" s="12">
        <v>43145</v>
      </c>
      <c r="H197" s="12">
        <v>43167</v>
      </c>
      <c r="I197">
        <v>11</v>
      </c>
      <c r="J197" s="12">
        <v>43152</v>
      </c>
      <c r="K197" t="b">
        <v>1</v>
      </c>
      <c r="L197" s="12">
        <v>43146</v>
      </c>
      <c r="M197" t="b">
        <v>0</v>
      </c>
      <c r="N197">
        <v>1</v>
      </c>
      <c r="O197">
        <v>1</v>
      </c>
      <c r="P197" s="19" t="s">
        <v>292</v>
      </c>
      <c r="Q197" s="19" t="s">
        <v>259</v>
      </c>
      <c r="R197" s="19" t="s">
        <v>131</v>
      </c>
      <c r="S197" s="19" t="s">
        <v>131</v>
      </c>
      <c r="T197" s="16">
        <v>120</v>
      </c>
      <c r="U197" s="16">
        <v>26.46</v>
      </c>
      <c r="V197" s="16">
        <v>146.46</v>
      </c>
      <c r="W197" s="19" t="s">
        <v>1039</v>
      </c>
      <c r="X197" s="19" t="s">
        <v>265</v>
      </c>
      <c r="Y197" s="12">
        <v>43177</v>
      </c>
      <c r="Z197" s="12">
        <v>43171</v>
      </c>
      <c r="AA197" s="12">
        <v>43177</v>
      </c>
    </row>
    <row r="198" spans="1:27" x14ac:dyDescent="0.25">
      <c r="A198">
        <v>194</v>
      </c>
      <c r="B198" s="19" t="s">
        <v>253</v>
      </c>
      <c r="C198" s="19" t="s">
        <v>254</v>
      </c>
      <c r="D198" s="19" t="s">
        <v>261</v>
      </c>
      <c r="E198" s="19" t="s">
        <v>262</v>
      </c>
      <c r="F198" s="19" t="s">
        <v>589</v>
      </c>
      <c r="G198" s="12">
        <v>43140</v>
      </c>
      <c r="H198" s="12">
        <v>43167</v>
      </c>
      <c r="I198">
        <v>11</v>
      </c>
      <c r="J198" s="12">
        <v>43152</v>
      </c>
      <c r="K198" t="b">
        <v>1</v>
      </c>
      <c r="L198" s="12">
        <v>43150</v>
      </c>
      <c r="M198" t="b">
        <v>0</v>
      </c>
      <c r="N198">
        <v>1</v>
      </c>
      <c r="O198">
        <v>1</v>
      </c>
      <c r="P198" s="19" t="s">
        <v>590</v>
      </c>
      <c r="Q198" s="19" t="s">
        <v>259</v>
      </c>
      <c r="R198" s="19" t="s">
        <v>121</v>
      </c>
      <c r="S198" s="19" t="s">
        <v>152</v>
      </c>
      <c r="T198" s="16">
        <v>18.98</v>
      </c>
      <c r="U198" s="16">
        <v>17.63</v>
      </c>
      <c r="V198" s="16">
        <v>36.61</v>
      </c>
      <c r="W198" s="19" t="s">
        <v>1038</v>
      </c>
      <c r="X198" s="19" t="s">
        <v>265</v>
      </c>
      <c r="Y198" s="12">
        <v>43177</v>
      </c>
      <c r="Z198" s="12">
        <v>43171</v>
      </c>
      <c r="AA198" s="12">
        <v>43177</v>
      </c>
    </row>
    <row r="199" spans="1:27" x14ac:dyDescent="0.25">
      <c r="A199">
        <v>195</v>
      </c>
      <c r="B199" s="19" t="s">
        <v>253</v>
      </c>
      <c r="C199" s="19" t="s">
        <v>254</v>
      </c>
      <c r="D199" s="19" t="s">
        <v>261</v>
      </c>
      <c r="E199" s="19" t="s">
        <v>262</v>
      </c>
      <c r="F199" s="19" t="s">
        <v>591</v>
      </c>
      <c r="G199" s="12">
        <v>43146</v>
      </c>
      <c r="H199" s="12">
        <v>43167</v>
      </c>
      <c r="I199">
        <v>11</v>
      </c>
      <c r="J199" s="12">
        <v>43152</v>
      </c>
      <c r="K199" t="b">
        <v>1</v>
      </c>
      <c r="L199" s="12">
        <v>43161</v>
      </c>
      <c r="M199" t="b">
        <v>0</v>
      </c>
      <c r="N199">
        <v>1</v>
      </c>
      <c r="O199">
        <v>1</v>
      </c>
      <c r="P199" s="19" t="s">
        <v>497</v>
      </c>
      <c r="Q199" s="19" t="s">
        <v>259</v>
      </c>
      <c r="R199" s="19" t="s">
        <v>121</v>
      </c>
      <c r="S199" s="19" t="s">
        <v>122</v>
      </c>
      <c r="T199" s="16">
        <v>10.99</v>
      </c>
      <c r="U199" s="16">
        <v>15.1</v>
      </c>
      <c r="V199" s="16">
        <v>26.09</v>
      </c>
      <c r="W199" s="19" t="s">
        <v>1040</v>
      </c>
      <c r="X199" s="19" t="s">
        <v>265</v>
      </c>
      <c r="Y199" s="12">
        <v>43177</v>
      </c>
      <c r="Z199" s="12">
        <v>43171</v>
      </c>
      <c r="AA199" s="12">
        <v>43177</v>
      </c>
    </row>
    <row r="200" spans="1:27" x14ac:dyDescent="0.25">
      <c r="A200">
        <v>196</v>
      </c>
      <c r="B200" s="19" t="s">
        <v>253</v>
      </c>
      <c r="C200" s="19" t="s">
        <v>254</v>
      </c>
      <c r="D200" s="19" t="s">
        <v>261</v>
      </c>
      <c r="E200" s="19" t="s">
        <v>262</v>
      </c>
      <c r="F200" s="19" t="s">
        <v>592</v>
      </c>
      <c r="G200" s="12">
        <v>43146</v>
      </c>
      <c r="H200" s="12">
        <v>43167</v>
      </c>
      <c r="I200">
        <v>11</v>
      </c>
      <c r="J200" s="12">
        <v>43153</v>
      </c>
      <c r="K200" t="b">
        <v>1</v>
      </c>
      <c r="L200" s="12">
        <v>43150</v>
      </c>
      <c r="M200" t="b">
        <v>0</v>
      </c>
      <c r="N200">
        <v>1</v>
      </c>
      <c r="O200">
        <v>1</v>
      </c>
      <c r="P200" s="19" t="s">
        <v>593</v>
      </c>
      <c r="Q200" s="19" t="s">
        <v>259</v>
      </c>
      <c r="R200" s="19" t="s">
        <v>121</v>
      </c>
      <c r="S200" s="19" t="s">
        <v>122</v>
      </c>
      <c r="T200" s="16">
        <v>42</v>
      </c>
      <c r="U200" s="16">
        <v>16.11</v>
      </c>
      <c r="V200" s="16">
        <v>58.11</v>
      </c>
      <c r="W200" s="19" t="s">
        <v>1038</v>
      </c>
      <c r="X200" s="19" t="s">
        <v>265</v>
      </c>
      <c r="Y200" s="12">
        <v>43177</v>
      </c>
      <c r="Z200" s="12">
        <v>43171</v>
      </c>
      <c r="AA200" s="12">
        <v>43177</v>
      </c>
    </row>
    <row r="201" spans="1:27" x14ac:dyDescent="0.25">
      <c r="A201">
        <v>197</v>
      </c>
      <c r="B201" s="19" t="s">
        <v>253</v>
      </c>
      <c r="C201" s="19" t="s">
        <v>254</v>
      </c>
      <c r="D201" s="19" t="s">
        <v>261</v>
      </c>
      <c r="E201" s="19" t="s">
        <v>262</v>
      </c>
      <c r="F201" s="19" t="s">
        <v>594</v>
      </c>
      <c r="G201" s="12">
        <v>43146</v>
      </c>
      <c r="H201" s="12">
        <v>43167</v>
      </c>
      <c r="I201">
        <v>11</v>
      </c>
      <c r="J201" s="12">
        <v>43153</v>
      </c>
      <c r="K201" t="b">
        <v>1</v>
      </c>
      <c r="L201" s="12">
        <v>43147</v>
      </c>
      <c r="M201" t="b">
        <v>0</v>
      </c>
      <c r="N201">
        <v>1</v>
      </c>
      <c r="O201">
        <v>1</v>
      </c>
      <c r="P201" s="19" t="s">
        <v>595</v>
      </c>
      <c r="Q201" s="19" t="s">
        <v>259</v>
      </c>
      <c r="R201" s="19" t="s">
        <v>121</v>
      </c>
      <c r="S201" s="19" t="s">
        <v>121</v>
      </c>
      <c r="T201" s="16">
        <v>39</v>
      </c>
      <c r="U201" s="16">
        <v>12.69</v>
      </c>
      <c r="V201" s="16">
        <v>51.69</v>
      </c>
      <c r="W201" s="19" t="s">
        <v>1025</v>
      </c>
      <c r="X201" s="19" t="s">
        <v>265</v>
      </c>
      <c r="Y201" s="12">
        <v>43177</v>
      </c>
      <c r="Z201" s="12">
        <v>43171</v>
      </c>
      <c r="AA201" s="12">
        <v>43177</v>
      </c>
    </row>
    <row r="202" spans="1:27" x14ac:dyDescent="0.25">
      <c r="A202">
        <v>198</v>
      </c>
      <c r="B202" s="19" t="s">
        <v>253</v>
      </c>
      <c r="C202" s="19" t="s">
        <v>254</v>
      </c>
      <c r="D202" s="19" t="s">
        <v>261</v>
      </c>
      <c r="E202" s="19" t="s">
        <v>262</v>
      </c>
      <c r="F202" s="19" t="s">
        <v>596</v>
      </c>
      <c r="G202" s="12">
        <v>43146</v>
      </c>
      <c r="H202" s="12">
        <v>43167</v>
      </c>
      <c r="I202">
        <v>11</v>
      </c>
      <c r="J202" s="12">
        <v>43157</v>
      </c>
      <c r="K202" t="b">
        <v>1</v>
      </c>
      <c r="L202" s="12">
        <v>43148</v>
      </c>
      <c r="M202" t="b">
        <v>0</v>
      </c>
      <c r="N202">
        <v>1</v>
      </c>
      <c r="O202">
        <v>1</v>
      </c>
      <c r="P202" s="19" t="s">
        <v>365</v>
      </c>
      <c r="Q202" s="19" t="s">
        <v>259</v>
      </c>
      <c r="R202" s="19" t="s">
        <v>121</v>
      </c>
      <c r="S202" s="19" t="s">
        <v>125</v>
      </c>
      <c r="T202" s="16">
        <v>23.99</v>
      </c>
      <c r="U202" s="16">
        <v>14.1</v>
      </c>
      <c r="V202" s="16">
        <v>38.090000000000003</v>
      </c>
      <c r="W202" s="19" t="s">
        <v>1041</v>
      </c>
      <c r="X202" s="19" t="s">
        <v>265</v>
      </c>
      <c r="Y202" s="12">
        <v>43177</v>
      </c>
      <c r="Z202" s="12">
        <v>43171</v>
      </c>
      <c r="AA202" s="12">
        <v>43177</v>
      </c>
    </row>
    <row r="203" spans="1:27" x14ac:dyDescent="0.25">
      <c r="A203">
        <v>199</v>
      </c>
      <c r="B203" s="19" t="s">
        <v>253</v>
      </c>
      <c r="C203" s="19" t="s">
        <v>254</v>
      </c>
      <c r="D203" s="19" t="s">
        <v>261</v>
      </c>
      <c r="E203" s="19" t="s">
        <v>262</v>
      </c>
      <c r="F203" s="19" t="s">
        <v>597</v>
      </c>
      <c r="G203" s="12">
        <v>43153</v>
      </c>
      <c r="H203" s="12">
        <v>43167</v>
      </c>
      <c r="I203">
        <v>11</v>
      </c>
      <c r="J203" s="12">
        <v>43159</v>
      </c>
      <c r="K203" t="b">
        <v>1</v>
      </c>
      <c r="L203" s="12">
        <v>43160</v>
      </c>
      <c r="M203" t="b">
        <v>0</v>
      </c>
      <c r="N203">
        <v>3</v>
      </c>
      <c r="O203">
        <v>1</v>
      </c>
      <c r="P203" s="19" t="s">
        <v>598</v>
      </c>
      <c r="Q203" s="19" t="s">
        <v>259</v>
      </c>
      <c r="R203" s="19" t="s">
        <v>121</v>
      </c>
      <c r="S203" s="19" t="s">
        <v>121</v>
      </c>
      <c r="T203" s="16">
        <v>137.69999999999999</v>
      </c>
      <c r="U203" s="16">
        <v>23.34</v>
      </c>
      <c r="V203" s="16">
        <v>161.04</v>
      </c>
      <c r="W203" s="19" t="s">
        <v>1042</v>
      </c>
      <c r="X203" s="19" t="s">
        <v>265</v>
      </c>
      <c r="Y203" s="12">
        <v>43177</v>
      </c>
      <c r="Z203" s="12">
        <v>43171</v>
      </c>
      <c r="AA203" s="12">
        <v>43177</v>
      </c>
    </row>
    <row r="204" spans="1:27" x14ac:dyDescent="0.25">
      <c r="A204">
        <v>200</v>
      </c>
      <c r="B204" s="19" t="s">
        <v>253</v>
      </c>
      <c r="C204" s="19" t="s">
        <v>254</v>
      </c>
      <c r="D204" s="19" t="s">
        <v>261</v>
      </c>
      <c r="E204" s="19" t="s">
        <v>262</v>
      </c>
      <c r="F204" s="19" t="s">
        <v>599</v>
      </c>
      <c r="G204" s="12">
        <v>43153</v>
      </c>
      <c r="H204" s="12">
        <v>43167</v>
      </c>
      <c r="I204">
        <v>11</v>
      </c>
      <c r="J204" s="12">
        <v>43160</v>
      </c>
      <c r="K204" t="b">
        <v>1</v>
      </c>
      <c r="L204" s="12">
        <v>43157</v>
      </c>
      <c r="M204" t="b">
        <v>0</v>
      </c>
      <c r="N204">
        <v>1</v>
      </c>
      <c r="O204">
        <v>1</v>
      </c>
      <c r="P204" s="19" t="s">
        <v>600</v>
      </c>
      <c r="Q204" s="19" t="s">
        <v>259</v>
      </c>
      <c r="R204" s="19" t="s">
        <v>121</v>
      </c>
      <c r="S204" s="19" t="s">
        <v>121</v>
      </c>
      <c r="T204" s="16">
        <v>99.9</v>
      </c>
      <c r="U204" s="16">
        <v>13.25</v>
      </c>
      <c r="V204" s="16">
        <v>113.15</v>
      </c>
      <c r="W204" s="19" t="s">
        <v>1043</v>
      </c>
      <c r="X204" s="19" t="s">
        <v>265</v>
      </c>
      <c r="Y204" s="12">
        <v>43177</v>
      </c>
      <c r="Z204" s="12">
        <v>43171</v>
      </c>
      <c r="AA204" s="12">
        <v>43177</v>
      </c>
    </row>
    <row r="205" spans="1:27" x14ac:dyDescent="0.25">
      <c r="A205">
        <v>201</v>
      </c>
      <c r="B205" s="19" t="s">
        <v>253</v>
      </c>
      <c r="C205" s="19" t="s">
        <v>254</v>
      </c>
      <c r="D205" s="19" t="s">
        <v>255</v>
      </c>
      <c r="E205" s="19" t="s">
        <v>256</v>
      </c>
      <c r="F205" s="19" t="s">
        <v>601</v>
      </c>
      <c r="G205" s="12">
        <v>43137</v>
      </c>
      <c r="H205" s="12">
        <v>43167</v>
      </c>
      <c r="I205">
        <v>11</v>
      </c>
      <c r="J205" s="12"/>
      <c r="K205" t="b">
        <v>1</v>
      </c>
      <c r="L205" s="12"/>
      <c r="M205" t="b">
        <v>0</v>
      </c>
      <c r="N205">
        <v>0</v>
      </c>
      <c r="O205">
        <v>0</v>
      </c>
      <c r="P205" s="19" t="s">
        <v>172</v>
      </c>
      <c r="Q205" s="19" t="s">
        <v>285</v>
      </c>
      <c r="R205" s="19" t="s">
        <v>172</v>
      </c>
      <c r="S205" s="19" t="s">
        <v>135</v>
      </c>
      <c r="T205" s="16">
        <v>0</v>
      </c>
      <c r="U205" s="16">
        <v>0</v>
      </c>
      <c r="V205" s="16">
        <v>216.05</v>
      </c>
      <c r="W205" s="19" t="s">
        <v>172</v>
      </c>
      <c r="X205" s="19" t="s">
        <v>260</v>
      </c>
      <c r="Y205" s="12">
        <v>43177</v>
      </c>
      <c r="Z205" s="12">
        <v>43171</v>
      </c>
      <c r="AA205" s="12">
        <v>43177</v>
      </c>
    </row>
    <row r="206" spans="1:27" x14ac:dyDescent="0.25">
      <c r="A206">
        <v>202</v>
      </c>
      <c r="B206" s="19" t="s">
        <v>253</v>
      </c>
      <c r="C206" s="19" t="s">
        <v>254</v>
      </c>
      <c r="D206" s="19" t="s">
        <v>261</v>
      </c>
      <c r="E206" s="19" t="s">
        <v>262</v>
      </c>
      <c r="F206" s="19" t="s">
        <v>602</v>
      </c>
      <c r="G206" s="12">
        <v>43132</v>
      </c>
      <c r="H206" s="12">
        <v>43168</v>
      </c>
      <c r="I206">
        <v>10</v>
      </c>
      <c r="J206" s="12">
        <v>43139</v>
      </c>
      <c r="K206" t="b">
        <v>1</v>
      </c>
      <c r="L206" s="12">
        <v>43136</v>
      </c>
      <c r="M206" t="b">
        <v>0</v>
      </c>
      <c r="N206">
        <v>1</v>
      </c>
      <c r="O206">
        <v>1</v>
      </c>
      <c r="P206" s="19" t="s">
        <v>603</v>
      </c>
      <c r="Q206" s="19" t="s">
        <v>259</v>
      </c>
      <c r="R206" s="19" t="s">
        <v>135</v>
      </c>
      <c r="S206" s="19" t="s">
        <v>178</v>
      </c>
      <c r="T206" s="16">
        <v>689.89</v>
      </c>
      <c r="U206" s="16">
        <v>48.68</v>
      </c>
      <c r="V206" s="16">
        <v>738.57</v>
      </c>
      <c r="W206" s="19" t="s">
        <v>1044</v>
      </c>
      <c r="X206" s="19" t="s">
        <v>265</v>
      </c>
      <c r="Y206" s="12">
        <v>43177</v>
      </c>
      <c r="Z206" s="12">
        <v>43171</v>
      </c>
      <c r="AA206" s="12">
        <v>43177</v>
      </c>
    </row>
    <row r="207" spans="1:27" x14ac:dyDescent="0.25">
      <c r="A207">
        <v>203</v>
      </c>
      <c r="B207" s="19" t="s">
        <v>253</v>
      </c>
      <c r="C207" s="19" t="s">
        <v>254</v>
      </c>
      <c r="D207" s="19" t="s">
        <v>261</v>
      </c>
      <c r="E207" s="19" t="s">
        <v>262</v>
      </c>
      <c r="F207" s="19" t="s">
        <v>604</v>
      </c>
      <c r="G207" s="12">
        <v>43133</v>
      </c>
      <c r="H207" s="12">
        <v>43168</v>
      </c>
      <c r="I207">
        <v>10</v>
      </c>
      <c r="J207" s="12">
        <v>43139</v>
      </c>
      <c r="K207" t="b">
        <v>1</v>
      </c>
      <c r="L207" s="12">
        <v>43136</v>
      </c>
      <c r="M207" t="b">
        <v>0</v>
      </c>
      <c r="N207">
        <v>1</v>
      </c>
      <c r="O207">
        <v>1</v>
      </c>
      <c r="P207" s="19" t="s">
        <v>354</v>
      </c>
      <c r="Q207" s="19" t="s">
        <v>259</v>
      </c>
      <c r="R207" s="19" t="s">
        <v>121</v>
      </c>
      <c r="S207" s="19" t="s">
        <v>138</v>
      </c>
      <c r="T207" s="16">
        <v>29.99</v>
      </c>
      <c r="U207" s="16">
        <v>15.1</v>
      </c>
      <c r="V207" s="16">
        <v>45.09</v>
      </c>
      <c r="W207" s="19" t="s">
        <v>1044</v>
      </c>
      <c r="X207" s="19" t="s">
        <v>265</v>
      </c>
      <c r="Y207" s="12">
        <v>43177</v>
      </c>
      <c r="Z207" s="12">
        <v>43171</v>
      </c>
      <c r="AA207" s="12">
        <v>43177</v>
      </c>
    </row>
    <row r="208" spans="1:27" x14ac:dyDescent="0.25">
      <c r="A208">
        <v>204</v>
      </c>
      <c r="B208" s="19" t="s">
        <v>253</v>
      </c>
      <c r="C208" s="19" t="s">
        <v>254</v>
      </c>
      <c r="D208" s="19" t="s">
        <v>261</v>
      </c>
      <c r="E208" s="19" t="s">
        <v>262</v>
      </c>
      <c r="F208" s="19" t="s">
        <v>605</v>
      </c>
      <c r="G208" s="12">
        <v>43133</v>
      </c>
      <c r="H208" s="12">
        <v>43168</v>
      </c>
      <c r="I208">
        <v>10</v>
      </c>
      <c r="J208" s="12">
        <v>43139</v>
      </c>
      <c r="K208" t="b">
        <v>1</v>
      </c>
      <c r="L208" s="12">
        <v>43137</v>
      </c>
      <c r="M208" t="b">
        <v>0</v>
      </c>
      <c r="N208">
        <v>1</v>
      </c>
      <c r="O208">
        <v>1</v>
      </c>
      <c r="P208" s="19" t="s">
        <v>606</v>
      </c>
      <c r="Q208" s="19" t="s">
        <v>259</v>
      </c>
      <c r="R208" s="19" t="s">
        <v>135</v>
      </c>
      <c r="S208" s="19" t="s">
        <v>178</v>
      </c>
      <c r="T208" s="16">
        <v>18.899999999999999</v>
      </c>
      <c r="U208" s="16">
        <v>42.38</v>
      </c>
      <c r="V208" s="16">
        <v>61.28</v>
      </c>
      <c r="W208" s="19" t="s">
        <v>1045</v>
      </c>
      <c r="X208" s="19" t="s">
        <v>265</v>
      </c>
      <c r="Y208" s="12">
        <v>43177</v>
      </c>
      <c r="Z208" s="12">
        <v>43171</v>
      </c>
      <c r="AA208" s="12">
        <v>43177</v>
      </c>
    </row>
    <row r="209" spans="1:27" x14ac:dyDescent="0.25">
      <c r="A209">
        <v>205</v>
      </c>
      <c r="B209" s="19" t="s">
        <v>253</v>
      </c>
      <c r="C209" s="19" t="s">
        <v>254</v>
      </c>
      <c r="D209" s="19" t="s">
        <v>255</v>
      </c>
      <c r="E209" s="19" t="s">
        <v>256</v>
      </c>
      <c r="F209" s="19" t="s">
        <v>607</v>
      </c>
      <c r="G209" s="12">
        <v>43121</v>
      </c>
      <c r="H209" s="12">
        <v>43168</v>
      </c>
      <c r="I209">
        <v>10</v>
      </c>
      <c r="J209" s="12">
        <v>43140</v>
      </c>
      <c r="K209" t="b">
        <v>1</v>
      </c>
      <c r="L209" s="12"/>
      <c r="M209" t="b">
        <v>0</v>
      </c>
      <c r="N209">
        <v>1</v>
      </c>
      <c r="O209">
        <v>1</v>
      </c>
      <c r="P209" s="19" t="s">
        <v>452</v>
      </c>
      <c r="Q209" s="19" t="s">
        <v>259</v>
      </c>
      <c r="R209" s="19" t="s">
        <v>121</v>
      </c>
      <c r="S209" s="19" t="s">
        <v>125</v>
      </c>
      <c r="T209" s="16">
        <v>1599</v>
      </c>
      <c r="U209" s="16">
        <v>84.14</v>
      </c>
      <c r="V209" s="16">
        <v>1683.14</v>
      </c>
      <c r="W209" s="19" t="s">
        <v>1046</v>
      </c>
      <c r="X209" s="19" t="s">
        <v>260</v>
      </c>
      <c r="Y209" s="12">
        <v>43177</v>
      </c>
      <c r="Z209" s="12">
        <v>43171</v>
      </c>
      <c r="AA209" s="12">
        <v>43177</v>
      </c>
    </row>
    <row r="210" spans="1:27" x14ac:dyDescent="0.25">
      <c r="A210">
        <v>206</v>
      </c>
      <c r="B210" s="19" t="s">
        <v>253</v>
      </c>
      <c r="C210" s="19" t="s">
        <v>254</v>
      </c>
      <c r="D210" s="19" t="s">
        <v>261</v>
      </c>
      <c r="E210" s="19" t="s">
        <v>262</v>
      </c>
      <c r="F210" s="19" t="s">
        <v>608</v>
      </c>
      <c r="G210" s="12">
        <v>43129</v>
      </c>
      <c r="H210" s="12">
        <v>43168</v>
      </c>
      <c r="I210">
        <v>10</v>
      </c>
      <c r="J210" s="12">
        <v>43140</v>
      </c>
      <c r="K210" t="b">
        <v>1</v>
      </c>
      <c r="L210" s="12">
        <v>43132</v>
      </c>
      <c r="M210" t="b">
        <v>0</v>
      </c>
      <c r="N210">
        <v>1</v>
      </c>
      <c r="O210">
        <v>1</v>
      </c>
      <c r="P210" s="19" t="s">
        <v>609</v>
      </c>
      <c r="Q210" s="19" t="s">
        <v>259</v>
      </c>
      <c r="R210" s="19" t="s">
        <v>135</v>
      </c>
      <c r="S210" s="19" t="s">
        <v>152</v>
      </c>
      <c r="T210" s="16">
        <v>349.9</v>
      </c>
      <c r="U210" s="16">
        <v>48.98</v>
      </c>
      <c r="V210" s="16">
        <v>398.88</v>
      </c>
      <c r="W210" s="19" t="s">
        <v>1047</v>
      </c>
      <c r="X210" s="19" t="s">
        <v>265</v>
      </c>
      <c r="Y210" s="12">
        <v>43177</v>
      </c>
      <c r="Z210" s="12">
        <v>43171</v>
      </c>
      <c r="AA210" s="12">
        <v>43177</v>
      </c>
    </row>
    <row r="211" spans="1:27" x14ac:dyDescent="0.25">
      <c r="A211">
        <v>207</v>
      </c>
      <c r="B211" s="19" t="s">
        <v>253</v>
      </c>
      <c r="C211" s="19" t="s">
        <v>254</v>
      </c>
      <c r="D211" s="19" t="s">
        <v>261</v>
      </c>
      <c r="E211" s="19" t="s">
        <v>262</v>
      </c>
      <c r="F211" s="19" t="s">
        <v>610</v>
      </c>
      <c r="G211" s="12">
        <v>43138</v>
      </c>
      <c r="H211" s="12">
        <v>43168</v>
      </c>
      <c r="I211">
        <v>10</v>
      </c>
      <c r="J211" s="12">
        <v>43145</v>
      </c>
      <c r="K211" t="b">
        <v>1</v>
      </c>
      <c r="L211" s="12">
        <v>43140</v>
      </c>
      <c r="M211" t="b">
        <v>0</v>
      </c>
      <c r="N211">
        <v>1</v>
      </c>
      <c r="O211">
        <v>1</v>
      </c>
      <c r="P211" s="19" t="s">
        <v>611</v>
      </c>
      <c r="Q211" s="19" t="s">
        <v>259</v>
      </c>
      <c r="R211" s="19" t="s">
        <v>125</v>
      </c>
      <c r="S211" s="19" t="s">
        <v>122</v>
      </c>
      <c r="T211" s="16">
        <v>69.900000000000006</v>
      </c>
      <c r="U211" s="16">
        <v>16.93</v>
      </c>
      <c r="V211" s="16">
        <v>86.83</v>
      </c>
      <c r="W211" s="19" t="s">
        <v>1048</v>
      </c>
      <c r="X211" s="19" t="s">
        <v>265</v>
      </c>
      <c r="Y211" s="12">
        <v>43177</v>
      </c>
      <c r="Z211" s="12">
        <v>43171</v>
      </c>
      <c r="AA211" s="12">
        <v>43177</v>
      </c>
    </row>
    <row r="212" spans="1:27" x14ac:dyDescent="0.25">
      <c r="A212">
        <v>208</v>
      </c>
      <c r="B212" s="19" t="s">
        <v>253</v>
      </c>
      <c r="C212" s="19" t="s">
        <v>254</v>
      </c>
      <c r="D212" s="19" t="s">
        <v>255</v>
      </c>
      <c r="E212" s="19" t="s">
        <v>256</v>
      </c>
      <c r="F212" s="19" t="s">
        <v>612</v>
      </c>
      <c r="G212" s="12">
        <v>43142</v>
      </c>
      <c r="H212" s="12">
        <v>43168</v>
      </c>
      <c r="I212">
        <v>10</v>
      </c>
      <c r="J212" s="12">
        <v>43146</v>
      </c>
      <c r="K212" t="b">
        <v>1</v>
      </c>
      <c r="L212" s="12"/>
      <c r="M212" t="b">
        <v>0</v>
      </c>
      <c r="N212">
        <v>1</v>
      </c>
      <c r="O212">
        <v>1</v>
      </c>
      <c r="P212" s="19" t="s">
        <v>613</v>
      </c>
      <c r="Q212" s="19" t="s">
        <v>259</v>
      </c>
      <c r="R212" s="19" t="s">
        <v>121</v>
      </c>
      <c r="S212" s="19" t="s">
        <v>131</v>
      </c>
      <c r="T212" s="16">
        <v>69.900000000000006</v>
      </c>
      <c r="U212" s="16">
        <v>17.739999999999998</v>
      </c>
      <c r="V212" s="16">
        <v>87.64</v>
      </c>
      <c r="W212" s="19" t="s">
        <v>1049</v>
      </c>
      <c r="X212" s="19" t="s">
        <v>260</v>
      </c>
      <c r="Y212" s="12">
        <v>43177</v>
      </c>
      <c r="Z212" s="12">
        <v>43171</v>
      </c>
      <c r="AA212" s="12">
        <v>43177</v>
      </c>
    </row>
    <row r="213" spans="1:27" x14ac:dyDescent="0.25">
      <c r="A213">
        <v>209</v>
      </c>
      <c r="B213" s="19" t="s">
        <v>253</v>
      </c>
      <c r="C213" s="19" t="s">
        <v>254</v>
      </c>
      <c r="D213" s="19" t="s">
        <v>261</v>
      </c>
      <c r="E213" s="19" t="s">
        <v>262</v>
      </c>
      <c r="F213" s="19" t="s">
        <v>614</v>
      </c>
      <c r="G213" s="12">
        <v>43140</v>
      </c>
      <c r="H213" s="12">
        <v>43168</v>
      </c>
      <c r="I213">
        <v>10</v>
      </c>
      <c r="J213" s="12">
        <v>43146</v>
      </c>
      <c r="K213" t="b">
        <v>1</v>
      </c>
      <c r="L213" s="12">
        <v>43146</v>
      </c>
      <c r="M213" t="b">
        <v>0</v>
      </c>
      <c r="N213">
        <v>1</v>
      </c>
      <c r="O213">
        <v>1</v>
      </c>
      <c r="P213" s="19" t="s">
        <v>615</v>
      </c>
      <c r="Q213" s="19" t="s">
        <v>259</v>
      </c>
      <c r="R213" s="19" t="s">
        <v>121</v>
      </c>
      <c r="S213" s="19" t="s">
        <v>122</v>
      </c>
      <c r="T213" s="16">
        <v>8</v>
      </c>
      <c r="U213" s="16">
        <v>16.11</v>
      </c>
      <c r="V213" s="16">
        <v>24.11</v>
      </c>
      <c r="W213" s="19" t="s">
        <v>1050</v>
      </c>
      <c r="X213" s="19" t="s">
        <v>265</v>
      </c>
      <c r="Y213" s="12">
        <v>43177</v>
      </c>
      <c r="Z213" s="12">
        <v>43171</v>
      </c>
      <c r="AA213" s="12">
        <v>43177</v>
      </c>
    </row>
    <row r="214" spans="1:27" x14ac:dyDescent="0.25">
      <c r="A214">
        <v>210</v>
      </c>
      <c r="B214" s="19" t="s">
        <v>253</v>
      </c>
      <c r="C214" s="19" t="s">
        <v>254</v>
      </c>
      <c r="D214" s="19" t="s">
        <v>261</v>
      </c>
      <c r="E214" s="19" t="s">
        <v>262</v>
      </c>
      <c r="F214" s="19" t="s">
        <v>616</v>
      </c>
      <c r="G214" s="12">
        <v>43143</v>
      </c>
      <c r="H214" s="12">
        <v>43168</v>
      </c>
      <c r="I214">
        <v>10</v>
      </c>
      <c r="J214" s="12">
        <v>43147</v>
      </c>
      <c r="K214" t="b">
        <v>1</v>
      </c>
      <c r="L214" s="12">
        <v>43146</v>
      </c>
      <c r="M214" t="b">
        <v>0</v>
      </c>
      <c r="N214">
        <v>1</v>
      </c>
      <c r="O214">
        <v>1</v>
      </c>
      <c r="P214" s="19" t="s">
        <v>617</v>
      </c>
      <c r="Q214" s="19" t="s">
        <v>259</v>
      </c>
      <c r="R214" s="19" t="s">
        <v>121</v>
      </c>
      <c r="S214" s="19" t="s">
        <v>125</v>
      </c>
      <c r="T214" s="16">
        <v>119.9</v>
      </c>
      <c r="U214" s="16">
        <v>27.16</v>
      </c>
      <c r="V214" s="16">
        <v>147.06</v>
      </c>
      <c r="W214" s="19" t="s">
        <v>1050</v>
      </c>
      <c r="X214" s="19" t="s">
        <v>265</v>
      </c>
      <c r="Y214" s="12">
        <v>43177</v>
      </c>
      <c r="Z214" s="12">
        <v>43171</v>
      </c>
      <c r="AA214" s="12">
        <v>43177</v>
      </c>
    </row>
    <row r="215" spans="1:27" x14ac:dyDescent="0.25">
      <c r="A215">
        <v>211</v>
      </c>
      <c r="B215" s="19" t="s">
        <v>253</v>
      </c>
      <c r="C215" s="19" t="s">
        <v>254</v>
      </c>
      <c r="D215" s="19" t="s">
        <v>261</v>
      </c>
      <c r="E215" s="19" t="s">
        <v>262</v>
      </c>
      <c r="F215" s="19" t="s">
        <v>618</v>
      </c>
      <c r="G215" s="12">
        <v>43144</v>
      </c>
      <c r="H215" s="12">
        <v>43168</v>
      </c>
      <c r="I215">
        <v>10</v>
      </c>
      <c r="J215" s="12">
        <v>43150</v>
      </c>
      <c r="K215" t="b">
        <v>1</v>
      </c>
      <c r="L215" s="12">
        <v>43145</v>
      </c>
      <c r="M215" t="b">
        <v>0</v>
      </c>
      <c r="N215">
        <v>1</v>
      </c>
      <c r="O215">
        <v>1</v>
      </c>
      <c r="P215" s="19" t="s">
        <v>619</v>
      </c>
      <c r="Q215" s="19" t="s">
        <v>259</v>
      </c>
      <c r="R215" s="19" t="s">
        <v>122</v>
      </c>
      <c r="S215" s="19" t="s">
        <v>121</v>
      </c>
      <c r="T215" s="16">
        <v>42.9</v>
      </c>
      <c r="U215" s="16">
        <v>15.1</v>
      </c>
      <c r="V215" s="16">
        <v>58</v>
      </c>
      <c r="W215" s="19" t="s">
        <v>1051</v>
      </c>
      <c r="X215" s="19" t="s">
        <v>265</v>
      </c>
      <c r="Y215" s="12">
        <v>43177</v>
      </c>
      <c r="Z215" s="12">
        <v>43171</v>
      </c>
      <c r="AA215" s="12">
        <v>43177</v>
      </c>
    </row>
    <row r="216" spans="1:27" x14ac:dyDescent="0.25">
      <c r="A216">
        <v>212</v>
      </c>
      <c r="B216" s="19" t="s">
        <v>253</v>
      </c>
      <c r="C216" s="19" t="s">
        <v>254</v>
      </c>
      <c r="D216" s="19" t="s">
        <v>261</v>
      </c>
      <c r="E216" s="19" t="s">
        <v>262</v>
      </c>
      <c r="F216" s="19" t="s">
        <v>620</v>
      </c>
      <c r="G216" s="12">
        <v>43145</v>
      </c>
      <c r="H216" s="12">
        <v>43168</v>
      </c>
      <c r="I216">
        <v>10</v>
      </c>
      <c r="J216" s="12">
        <v>43151</v>
      </c>
      <c r="K216" t="b">
        <v>1</v>
      </c>
      <c r="L216" s="12">
        <v>43146</v>
      </c>
      <c r="M216" t="b">
        <v>0</v>
      </c>
      <c r="N216">
        <v>1</v>
      </c>
      <c r="O216">
        <v>1</v>
      </c>
      <c r="P216" s="19" t="s">
        <v>621</v>
      </c>
      <c r="Q216" s="19" t="s">
        <v>259</v>
      </c>
      <c r="R216" s="19" t="s">
        <v>121</v>
      </c>
      <c r="S216" s="19" t="s">
        <v>122</v>
      </c>
      <c r="T216" s="16">
        <v>349</v>
      </c>
      <c r="U216" s="16">
        <v>17.190000000000001</v>
      </c>
      <c r="V216" s="16">
        <v>366.19</v>
      </c>
      <c r="W216" s="19" t="s">
        <v>1050</v>
      </c>
      <c r="X216" s="19" t="s">
        <v>265</v>
      </c>
      <c r="Y216" s="12">
        <v>43177</v>
      </c>
      <c r="Z216" s="12">
        <v>43171</v>
      </c>
      <c r="AA216" s="12">
        <v>43177</v>
      </c>
    </row>
    <row r="217" spans="1:27" x14ac:dyDescent="0.25">
      <c r="A217">
        <v>213</v>
      </c>
      <c r="B217" s="19" t="s">
        <v>253</v>
      </c>
      <c r="C217" s="19" t="s">
        <v>254</v>
      </c>
      <c r="D217" s="19" t="s">
        <v>261</v>
      </c>
      <c r="E217" s="19" t="s">
        <v>262</v>
      </c>
      <c r="F217" s="19" t="s">
        <v>622</v>
      </c>
      <c r="G217" s="12">
        <v>43142</v>
      </c>
      <c r="H217" s="12">
        <v>43168</v>
      </c>
      <c r="I217">
        <v>10</v>
      </c>
      <c r="J217" s="12">
        <v>43151</v>
      </c>
      <c r="K217" t="b">
        <v>1</v>
      </c>
      <c r="L217" s="12">
        <v>43145</v>
      </c>
      <c r="M217" t="b">
        <v>0</v>
      </c>
      <c r="N217">
        <v>1</v>
      </c>
      <c r="O217">
        <v>1</v>
      </c>
      <c r="P217" s="19" t="s">
        <v>623</v>
      </c>
      <c r="Q217" s="19" t="s">
        <v>259</v>
      </c>
      <c r="R217" s="19" t="s">
        <v>121</v>
      </c>
      <c r="S217" s="19" t="s">
        <v>122</v>
      </c>
      <c r="T217" s="16">
        <v>227.99</v>
      </c>
      <c r="U217" s="16">
        <v>50.34</v>
      </c>
      <c r="V217" s="16">
        <v>278.33</v>
      </c>
      <c r="W217" s="19" t="s">
        <v>1051</v>
      </c>
      <c r="X217" s="19" t="s">
        <v>265</v>
      </c>
      <c r="Y217" s="12">
        <v>43177</v>
      </c>
      <c r="Z217" s="12">
        <v>43171</v>
      </c>
      <c r="AA217" s="12">
        <v>43177</v>
      </c>
    </row>
    <row r="218" spans="1:27" x14ac:dyDescent="0.25">
      <c r="A218">
        <v>214</v>
      </c>
      <c r="B218" s="19" t="s">
        <v>253</v>
      </c>
      <c r="C218" s="19" t="s">
        <v>254</v>
      </c>
      <c r="D218" s="19" t="s">
        <v>261</v>
      </c>
      <c r="E218" s="19" t="s">
        <v>262</v>
      </c>
      <c r="F218" s="19" t="s">
        <v>624</v>
      </c>
      <c r="G218" s="12">
        <v>43145</v>
      </c>
      <c r="H218" s="12">
        <v>43168</v>
      </c>
      <c r="I218">
        <v>10</v>
      </c>
      <c r="J218" s="12">
        <v>43151</v>
      </c>
      <c r="K218" t="b">
        <v>1</v>
      </c>
      <c r="L218" s="12">
        <v>43145</v>
      </c>
      <c r="M218" t="b">
        <v>0</v>
      </c>
      <c r="N218">
        <v>1</v>
      </c>
      <c r="O218">
        <v>1</v>
      </c>
      <c r="P218" s="19" t="s">
        <v>625</v>
      </c>
      <c r="Q218" s="19" t="s">
        <v>259</v>
      </c>
      <c r="R218" s="19" t="s">
        <v>121</v>
      </c>
      <c r="S218" s="19" t="s">
        <v>146</v>
      </c>
      <c r="T218" s="16">
        <v>26.99</v>
      </c>
      <c r="U218" s="16">
        <v>14.1</v>
      </c>
      <c r="V218" s="16">
        <v>41.09</v>
      </c>
      <c r="W218" s="19" t="s">
        <v>1051</v>
      </c>
      <c r="X218" s="19" t="s">
        <v>265</v>
      </c>
      <c r="Y218" s="12">
        <v>43177</v>
      </c>
      <c r="Z218" s="12">
        <v>43171</v>
      </c>
      <c r="AA218" s="12">
        <v>43177</v>
      </c>
    </row>
    <row r="219" spans="1:27" x14ac:dyDescent="0.25">
      <c r="A219">
        <v>215</v>
      </c>
      <c r="B219" s="19" t="s">
        <v>253</v>
      </c>
      <c r="C219" s="19" t="s">
        <v>254</v>
      </c>
      <c r="D219" s="19" t="s">
        <v>261</v>
      </c>
      <c r="E219" s="19" t="s">
        <v>262</v>
      </c>
      <c r="F219" s="19" t="s">
        <v>626</v>
      </c>
      <c r="G219" s="12">
        <v>43146</v>
      </c>
      <c r="H219" s="12">
        <v>43168</v>
      </c>
      <c r="I219">
        <v>10</v>
      </c>
      <c r="J219" s="12">
        <v>43152</v>
      </c>
      <c r="K219" t="b">
        <v>1</v>
      </c>
      <c r="L219" s="12">
        <v>43147</v>
      </c>
      <c r="M219" t="b">
        <v>0</v>
      </c>
      <c r="N219">
        <v>1</v>
      </c>
      <c r="O219">
        <v>1</v>
      </c>
      <c r="P219" s="19" t="s">
        <v>627</v>
      </c>
      <c r="Q219" s="19" t="s">
        <v>259</v>
      </c>
      <c r="R219" s="19" t="s">
        <v>121</v>
      </c>
      <c r="S219" s="19" t="s">
        <v>121</v>
      </c>
      <c r="T219" s="16">
        <v>143.80000000000001</v>
      </c>
      <c r="U219" s="16">
        <v>19.89</v>
      </c>
      <c r="V219" s="16">
        <v>163.69</v>
      </c>
      <c r="W219" s="19" t="s">
        <v>1052</v>
      </c>
      <c r="X219" s="19" t="s">
        <v>265</v>
      </c>
      <c r="Y219" s="12">
        <v>43177</v>
      </c>
      <c r="Z219" s="12">
        <v>43171</v>
      </c>
      <c r="AA219" s="12">
        <v>43177</v>
      </c>
    </row>
    <row r="220" spans="1:27" x14ac:dyDescent="0.25">
      <c r="A220">
        <v>216</v>
      </c>
      <c r="B220" s="19" t="s">
        <v>253</v>
      </c>
      <c r="C220" s="19" t="s">
        <v>254</v>
      </c>
      <c r="D220" s="19" t="s">
        <v>261</v>
      </c>
      <c r="E220" s="19" t="s">
        <v>262</v>
      </c>
      <c r="F220" s="19" t="s">
        <v>628</v>
      </c>
      <c r="G220" s="12">
        <v>43147</v>
      </c>
      <c r="H220" s="12">
        <v>43168</v>
      </c>
      <c r="I220">
        <v>10</v>
      </c>
      <c r="J220" s="12">
        <v>43152</v>
      </c>
      <c r="K220" t="b">
        <v>1</v>
      </c>
      <c r="L220" s="12">
        <v>43151</v>
      </c>
      <c r="M220" t="b">
        <v>0</v>
      </c>
      <c r="N220">
        <v>1</v>
      </c>
      <c r="O220">
        <v>1</v>
      </c>
      <c r="P220" s="19" t="s">
        <v>327</v>
      </c>
      <c r="Q220" s="19" t="s">
        <v>259</v>
      </c>
      <c r="R220" s="19" t="s">
        <v>121</v>
      </c>
      <c r="S220" s="19" t="s">
        <v>121</v>
      </c>
      <c r="T220" s="16">
        <v>122.99</v>
      </c>
      <c r="U220" s="16">
        <v>12.36</v>
      </c>
      <c r="V220" s="16">
        <v>135.35</v>
      </c>
      <c r="W220" s="19" t="s">
        <v>1053</v>
      </c>
      <c r="X220" s="19" t="s">
        <v>265</v>
      </c>
      <c r="Y220" s="12">
        <v>43177</v>
      </c>
      <c r="Z220" s="12">
        <v>43171</v>
      </c>
      <c r="AA220" s="12">
        <v>43177</v>
      </c>
    </row>
    <row r="221" spans="1:27" x14ac:dyDescent="0.25">
      <c r="A221">
        <v>217</v>
      </c>
      <c r="B221" s="19" t="s">
        <v>253</v>
      </c>
      <c r="C221" s="19" t="s">
        <v>254</v>
      </c>
      <c r="D221" s="19" t="s">
        <v>261</v>
      </c>
      <c r="E221" s="19" t="s">
        <v>262</v>
      </c>
      <c r="F221" s="19" t="s">
        <v>629</v>
      </c>
      <c r="G221" s="12">
        <v>43144</v>
      </c>
      <c r="H221" s="12">
        <v>43168</v>
      </c>
      <c r="I221">
        <v>10</v>
      </c>
      <c r="J221" s="12">
        <v>43152</v>
      </c>
      <c r="K221" t="b">
        <v>1</v>
      </c>
      <c r="L221" s="12">
        <v>43147</v>
      </c>
      <c r="M221" t="b">
        <v>0</v>
      </c>
      <c r="N221">
        <v>1</v>
      </c>
      <c r="O221">
        <v>1</v>
      </c>
      <c r="P221" s="19" t="s">
        <v>279</v>
      </c>
      <c r="Q221" s="19" t="s">
        <v>259</v>
      </c>
      <c r="R221" s="19" t="s">
        <v>121</v>
      </c>
      <c r="S221" s="19" t="s">
        <v>131</v>
      </c>
      <c r="T221" s="16">
        <v>86.9</v>
      </c>
      <c r="U221" s="16">
        <v>21.1</v>
      </c>
      <c r="V221" s="16">
        <v>108</v>
      </c>
      <c r="W221" s="19" t="s">
        <v>1052</v>
      </c>
      <c r="X221" s="19" t="s">
        <v>265</v>
      </c>
      <c r="Y221" s="12">
        <v>43177</v>
      </c>
      <c r="Z221" s="12">
        <v>43171</v>
      </c>
      <c r="AA221" s="12">
        <v>43177</v>
      </c>
    </row>
    <row r="222" spans="1:27" x14ac:dyDescent="0.25">
      <c r="A222">
        <v>218</v>
      </c>
      <c r="B222" s="19" t="s">
        <v>253</v>
      </c>
      <c r="C222" s="19" t="s">
        <v>254</v>
      </c>
      <c r="D222" s="19" t="s">
        <v>261</v>
      </c>
      <c r="E222" s="19" t="s">
        <v>262</v>
      </c>
      <c r="F222" s="19" t="s">
        <v>630</v>
      </c>
      <c r="G222" s="12">
        <v>43146</v>
      </c>
      <c r="H222" s="12">
        <v>43168</v>
      </c>
      <c r="I222">
        <v>10</v>
      </c>
      <c r="J222" s="12">
        <v>43152</v>
      </c>
      <c r="K222" t="b">
        <v>1</v>
      </c>
      <c r="L222" s="12">
        <v>43150</v>
      </c>
      <c r="M222" t="b">
        <v>0</v>
      </c>
      <c r="N222">
        <v>1</v>
      </c>
      <c r="O222">
        <v>1</v>
      </c>
      <c r="P222" s="19" t="s">
        <v>341</v>
      </c>
      <c r="Q222" s="19" t="s">
        <v>259</v>
      </c>
      <c r="R222" s="19" t="s">
        <v>121</v>
      </c>
      <c r="S222" s="19" t="s">
        <v>122</v>
      </c>
      <c r="T222" s="16">
        <v>44.9</v>
      </c>
      <c r="U222" s="16">
        <v>15.1</v>
      </c>
      <c r="V222" s="16">
        <v>60</v>
      </c>
      <c r="W222" s="19" t="s">
        <v>1054</v>
      </c>
      <c r="X222" s="19" t="s">
        <v>265</v>
      </c>
      <c r="Y222" s="12">
        <v>43177</v>
      </c>
      <c r="Z222" s="12">
        <v>43171</v>
      </c>
      <c r="AA222" s="12">
        <v>43177</v>
      </c>
    </row>
    <row r="223" spans="1:27" x14ac:dyDescent="0.25">
      <c r="A223">
        <v>219</v>
      </c>
      <c r="B223" s="19" t="s">
        <v>253</v>
      </c>
      <c r="C223" s="19" t="s">
        <v>254</v>
      </c>
      <c r="D223" s="19" t="s">
        <v>261</v>
      </c>
      <c r="E223" s="19" t="s">
        <v>262</v>
      </c>
      <c r="F223" s="19" t="s">
        <v>631</v>
      </c>
      <c r="G223" s="12">
        <v>43146</v>
      </c>
      <c r="H223" s="12">
        <v>43168</v>
      </c>
      <c r="I223">
        <v>10</v>
      </c>
      <c r="J223" s="12">
        <v>43152</v>
      </c>
      <c r="K223" t="b">
        <v>1</v>
      </c>
      <c r="L223" s="12">
        <v>43147</v>
      </c>
      <c r="M223" t="b">
        <v>0</v>
      </c>
      <c r="N223">
        <v>2</v>
      </c>
      <c r="O223">
        <v>1</v>
      </c>
      <c r="P223" s="19" t="s">
        <v>632</v>
      </c>
      <c r="Q223" s="19" t="s">
        <v>259</v>
      </c>
      <c r="R223" s="19" t="s">
        <v>121</v>
      </c>
      <c r="S223" s="19" t="s">
        <v>127</v>
      </c>
      <c r="T223" s="16">
        <v>25.98</v>
      </c>
      <c r="U223" s="16">
        <v>28.2</v>
      </c>
      <c r="V223" s="16">
        <v>54.18</v>
      </c>
      <c r="W223" s="19" t="s">
        <v>1052</v>
      </c>
      <c r="X223" s="19" t="s">
        <v>265</v>
      </c>
      <c r="Y223" s="12">
        <v>43177</v>
      </c>
      <c r="Z223" s="12">
        <v>43171</v>
      </c>
      <c r="AA223" s="12">
        <v>43177</v>
      </c>
    </row>
    <row r="224" spans="1:27" x14ac:dyDescent="0.25">
      <c r="A224">
        <v>220</v>
      </c>
      <c r="B224" s="19" t="s">
        <v>253</v>
      </c>
      <c r="C224" s="19" t="s">
        <v>254</v>
      </c>
      <c r="D224" s="19" t="s">
        <v>261</v>
      </c>
      <c r="E224" s="19" t="s">
        <v>262</v>
      </c>
      <c r="F224" s="19" t="s">
        <v>633</v>
      </c>
      <c r="G224" s="12">
        <v>43148</v>
      </c>
      <c r="H224" s="12">
        <v>43168</v>
      </c>
      <c r="I224">
        <v>10</v>
      </c>
      <c r="J224" s="12">
        <v>43153</v>
      </c>
      <c r="K224" t="b">
        <v>1</v>
      </c>
      <c r="L224" s="12">
        <v>43150</v>
      </c>
      <c r="M224" t="b">
        <v>0</v>
      </c>
      <c r="N224">
        <v>1</v>
      </c>
      <c r="O224">
        <v>1</v>
      </c>
      <c r="P224" s="19" t="s">
        <v>634</v>
      </c>
      <c r="Q224" s="19" t="s">
        <v>259</v>
      </c>
      <c r="R224" s="19" t="s">
        <v>121</v>
      </c>
      <c r="S224" s="19" t="s">
        <v>121</v>
      </c>
      <c r="T224" s="16">
        <v>146.91999999999999</v>
      </c>
      <c r="U224" s="16">
        <v>12.53</v>
      </c>
      <c r="V224" s="16">
        <v>159.44999999999999</v>
      </c>
      <c r="W224" s="19" t="s">
        <v>1054</v>
      </c>
      <c r="X224" s="19" t="s">
        <v>265</v>
      </c>
      <c r="Y224" s="12">
        <v>43177</v>
      </c>
      <c r="Z224" s="12">
        <v>43171</v>
      </c>
      <c r="AA224" s="12">
        <v>43177</v>
      </c>
    </row>
    <row r="225" spans="1:27" x14ac:dyDescent="0.25">
      <c r="A225">
        <v>221</v>
      </c>
      <c r="B225" s="19" t="s">
        <v>253</v>
      </c>
      <c r="C225" s="19" t="s">
        <v>254</v>
      </c>
      <c r="D225" s="19" t="s">
        <v>261</v>
      </c>
      <c r="E225" s="19" t="s">
        <v>262</v>
      </c>
      <c r="F225" s="19" t="s">
        <v>635</v>
      </c>
      <c r="G225" s="12">
        <v>43140</v>
      </c>
      <c r="H225" s="12">
        <v>43168</v>
      </c>
      <c r="I225">
        <v>10</v>
      </c>
      <c r="J225" s="12">
        <v>43153</v>
      </c>
      <c r="K225" t="b">
        <v>1</v>
      </c>
      <c r="L225" s="12">
        <v>43146</v>
      </c>
      <c r="M225" t="b">
        <v>0</v>
      </c>
      <c r="N225">
        <v>1</v>
      </c>
      <c r="O225">
        <v>1</v>
      </c>
      <c r="P225" s="19" t="s">
        <v>595</v>
      </c>
      <c r="Q225" s="19" t="s">
        <v>259</v>
      </c>
      <c r="R225" s="19" t="s">
        <v>121</v>
      </c>
      <c r="S225" s="19" t="s">
        <v>131</v>
      </c>
      <c r="T225" s="16">
        <v>117</v>
      </c>
      <c r="U225" s="16">
        <v>15.57</v>
      </c>
      <c r="V225" s="16">
        <v>132.57</v>
      </c>
      <c r="W225" s="19" t="s">
        <v>1050</v>
      </c>
      <c r="X225" s="19" t="s">
        <v>265</v>
      </c>
      <c r="Y225" s="12">
        <v>43177</v>
      </c>
      <c r="Z225" s="12">
        <v>43171</v>
      </c>
      <c r="AA225" s="12">
        <v>43177</v>
      </c>
    </row>
    <row r="226" spans="1:27" x14ac:dyDescent="0.25">
      <c r="A226">
        <v>222</v>
      </c>
      <c r="B226" s="19" t="s">
        <v>253</v>
      </c>
      <c r="C226" s="19" t="s">
        <v>254</v>
      </c>
      <c r="D226" s="19" t="s">
        <v>261</v>
      </c>
      <c r="E226" s="19" t="s">
        <v>262</v>
      </c>
      <c r="F226" s="19" t="s">
        <v>636</v>
      </c>
      <c r="G226" s="12">
        <v>43149</v>
      </c>
      <c r="H226" s="12">
        <v>43168</v>
      </c>
      <c r="I226">
        <v>10</v>
      </c>
      <c r="J226" s="12">
        <v>43153</v>
      </c>
      <c r="K226" t="b">
        <v>1</v>
      </c>
      <c r="L226" s="12">
        <v>43151</v>
      </c>
      <c r="M226" t="b">
        <v>0</v>
      </c>
      <c r="N226">
        <v>1</v>
      </c>
      <c r="O226">
        <v>1</v>
      </c>
      <c r="P226" s="19" t="s">
        <v>637</v>
      </c>
      <c r="Q226" s="19" t="s">
        <v>259</v>
      </c>
      <c r="R226" s="19" t="s">
        <v>121</v>
      </c>
      <c r="S226" s="19" t="s">
        <v>121</v>
      </c>
      <c r="T226" s="16">
        <v>99.9</v>
      </c>
      <c r="U226" s="16">
        <v>13.72</v>
      </c>
      <c r="V226" s="16">
        <v>113.62</v>
      </c>
      <c r="W226" s="19" t="s">
        <v>1053</v>
      </c>
      <c r="X226" s="19" t="s">
        <v>265</v>
      </c>
      <c r="Y226" s="12">
        <v>43177</v>
      </c>
      <c r="Z226" s="12">
        <v>43171</v>
      </c>
      <c r="AA226" s="12">
        <v>43177</v>
      </c>
    </row>
    <row r="227" spans="1:27" x14ac:dyDescent="0.25">
      <c r="A227">
        <v>223</v>
      </c>
      <c r="B227" s="19" t="s">
        <v>253</v>
      </c>
      <c r="C227" s="19" t="s">
        <v>254</v>
      </c>
      <c r="D227" s="19" t="s">
        <v>261</v>
      </c>
      <c r="E227" s="19" t="s">
        <v>262</v>
      </c>
      <c r="F227" s="19" t="s">
        <v>638</v>
      </c>
      <c r="G227" s="12">
        <v>43143</v>
      </c>
      <c r="H227" s="12">
        <v>43168</v>
      </c>
      <c r="I227">
        <v>10</v>
      </c>
      <c r="J227" s="12">
        <v>43153</v>
      </c>
      <c r="K227" t="b">
        <v>1</v>
      </c>
      <c r="L227" s="12">
        <v>43147</v>
      </c>
      <c r="M227" t="b">
        <v>0</v>
      </c>
      <c r="N227">
        <v>1</v>
      </c>
      <c r="O227">
        <v>1</v>
      </c>
      <c r="P227" s="19" t="s">
        <v>639</v>
      </c>
      <c r="Q227" s="19" t="s">
        <v>259</v>
      </c>
      <c r="R227" s="19" t="s">
        <v>121</v>
      </c>
      <c r="S227" s="19" t="s">
        <v>125</v>
      </c>
      <c r="T227" s="16">
        <v>97.9</v>
      </c>
      <c r="U227" s="16">
        <v>17.940000000000001</v>
      </c>
      <c r="V227" s="16">
        <v>115.84</v>
      </c>
      <c r="W227" s="19" t="s">
        <v>1052</v>
      </c>
      <c r="X227" s="19" t="s">
        <v>265</v>
      </c>
      <c r="Y227" s="12">
        <v>43177</v>
      </c>
      <c r="Z227" s="12">
        <v>43171</v>
      </c>
      <c r="AA227" s="12">
        <v>43177</v>
      </c>
    </row>
    <row r="228" spans="1:27" x14ac:dyDescent="0.25">
      <c r="A228">
        <v>224</v>
      </c>
      <c r="B228" s="19" t="s">
        <v>253</v>
      </c>
      <c r="C228" s="19" t="s">
        <v>254</v>
      </c>
      <c r="D228" s="19" t="s">
        <v>261</v>
      </c>
      <c r="E228" s="19" t="s">
        <v>262</v>
      </c>
      <c r="F228" s="19" t="s">
        <v>640</v>
      </c>
      <c r="G228" s="12">
        <v>43149</v>
      </c>
      <c r="H228" s="12">
        <v>43168</v>
      </c>
      <c r="I228">
        <v>10</v>
      </c>
      <c r="J228" s="12">
        <v>43153</v>
      </c>
      <c r="K228" t="b">
        <v>1</v>
      </c>
      <c r="L228" s="12">
        <v>43161</v>
      </c>
      <c r="M228" t="b">
        <v>0</v>
      </c>
      <c r="N228">
        <v>1</v>
      </c>
      <c r="O228">
        <v>1</v>
      </c>
      <c r="P228" s="19" t="s">
        <v>497</v>
      </c>
      <c r="Q228" s="19" t="s">
        <v>259</v>
      </c>
      <c r="R228" s="19" t="s">
        <v>121</v>
      </c>
      <c r="S228" s="19" t="s">
        <v>121</v>
      </c>
      <c r="T228" s="16">
        <v>79.989999999999995</v>
      </c>
      <c r="U228" s="16">
        <v>13.58</v>
      </c>
      <c r="V228" s="16">
        <v>93.57</v>
      </c>
      <c r="W228" s="19" t="s">
        <v>1055</v>
      </c>
      <c r="X228" s="19" t="s">
        <v>265</v>
      </c>
      <c r="Y228" s="12">
        <v>43177</v>
      </c>
      <c r="Z228" s="12">
        <v>43171</v>
      </c>
      <c r="AA228" s="12">
        <v>43177</v>
      </c>
    </row>
    <row r="229" spans="1:27" x14ac:dyDescent="0.25">
      <c r="A229">
        <v>225</v>
      </c>
      <c r="B229" s="19" t="s">
        <v>253</v>
      </c>
      <c r="C229" s="19" t="s">
        <v>254</v>
      </c>
      <c r="D229" s="19" t="s">
        <v>261</v>
      </c>
      <c r="E229" s="19" t="s">
        <v>262</v>
      </c>
      <c r="F229" s="19" t="s">
        <v>641</v>
      </c>
      <c r="G229" s="12">
        <v>43147</v>
      </c>
      <c r="H229" s="12">
        <v>43168</v>
      </c>
      <c r="I229">
        <v>10</v>
      </c>
      <c r="J229" s="12">
        <v>43153</v>
      </c>
      <c r="K229" t="b">
        <v>1</v>
      </c>
      <c r="L229" s="12">
        <v>43151</v>
      </c>
      <c r="M229" t="b">
        <v>0</v>
      </c>
      <c r="N229">
        <v>1</v>
      </c>
      <c r="O229">
        <v>1</v>
      </c>
      <c r="P229" s="19" t="s">
        <v>642</v>
      </c>
      <c r="Q229" s="19" t="s">
        <v>259</v>
      </c>
      <c r="R229" s="19" t="s">
        <v>121</v>
      </c>
      <c r="S229" s="19" t="s">
        <v>122</v>
      </c>
      <c r="T229" s="16">
        <v>56.99</v>
      </c>
      <c r="U229" s="16">
        <v>16.16</v>
      </c>
      <c r="V229" s="16">
        <v>73.150000000000006</v>
      </c>
      <c r="W229" s="19" t="s">
        <v>1053</v>
      </c>
      <c r="X229" s="19" t="s">
        <v>265</v>
      </c>
      <c r="Y229" s="12">
        <v>43177</v>
      </c>
      <c r="Z229" s="12">
        <v>43171</v>
      </c>
      <c r="AA229" s="12">
        <v>43177</v>
      </c>
    </row>
    <row r="230" spans="1:27" x14ac:dyDescent="0.25">
      <c r="A230">
        <v>226</v>
      </c>
      <c r="B230" s="19" t="s">
        <v>253</v>
      </c>
      <c r="C230" s="19" t="s">
        <v>254</v>
      </c>
      <c r="D230" s="19" t="s">
        <v>261</v>
      </c>
      <c r="E230" s="19" t="s">
        <v>262</v>
      </c>
      <c r="F230" s="19" t="s">
        <v>643</v>
      </c>
      <c r="G230" s="12">
        <v>43147</v>
      </c>
      <c r="H230" s="12">
        <v>43168</v>
      </c>
      <c r="I230">
        <v>10</v>
      </c>
      <c r="J230" s="12">
        <v>43153</v>
      </c>
      <c r="K230" t="b">
        <v>1</v>
      </c>
      <c r="L230" s="12">
        <v>43151</v>
      </c>
      <c r="M230" t="b">
        <v>0</v>
      </c>
      <c r="N230">
        <v>1</v>
      </c>
      <c r="O230">
        <v>1</v>
      </c>
      <c r="P230" s="19" t="s">
        <v>644</v>
      </c>
      <c r="Q230" s="19" t="s">
        <v>259</v>
      </c>
      <c r="R230" s="19" t="s">
        <v>121</v>
      </c>
      <c r="S230" s="19" t="s">
        <v>122</v>
      </c>
      <c r="T230" s="16">
        <v>29.99</v>
      </c>
      <c r="U230" s="16">
        <v>15.1</v>
      </c>
      <c r="V230" s="16">
        <v>45.09</v>
      </c>
      <c r="W230" s="19" t="s">
        <v>1053</v>
      </c>
      <c r="X230" s="19" t="s">
        <v>265</v>
      </c>
      <c r="Y230" s="12">
        <v>43177</v>
      </c>
      <c r="Z230" s="12">
        <v>43171</v>
      </c>
      <c r="AA230" s="12">
        <v>43177</v>
      </c>
    </row>
    <row r="231" spans="1:27" x14ac:dyDescent="0.25">
      <c r="A231">
        <v>227</v>
      </c>
      <c r="B231" s="19" t="s">
        <v>253</v>
      </c>
      <c r="C231" s="19" t="s">
        <v>254</v>
      </c>
      <c r="D231" s="19" t="s">
        <v>261</v>
      </c>
      <c r="E231" s="19" t="s">
        <v>262</v>
      </c>
      <c r="F231" s="19" t="s">
        <v>645</v>
      </c>
      <c r="G231" s="12">
        <v>43150</v>
      </c>
      <c r="H231" s="12">
        <v>43168</v>
      </c>
      <c r="I231">
        <v>10</v>
      </c>
      <c r="J231" s="12">
        <v>43154</v>
      </c>
      <c r="K231" t="b">
        <v>1</v>
      </c>
      <c r="L231" s="12">
        <v>43153</v>
      </c>
      <c r="M231" t="b">
        <v>0</v>
      </c>
      <c r="N231">
        <v>1</v>
      </c>
      <c r="O231">
        <v>1</v>
      </c>
      <c r="P231" s="19" t="s">
        <v>320</v>
      </c>
      <c r="Q231" s="19" t="s">
        <v>259</v>
      </c>
      <c r="R231" s="19" t="s">
        <v>121</v>
      </c>
      <c r="S231" s="19" t="s">
        <v>131</v>
      </c>
      <c r="T231" s="16">
        <v>104.97</v>
      </c>
      <c r="U231" s="16">
        <v>14.48</v>
      </c>
      <c r="V231" s="16">
        <v>119.45</v>
      </c>
      <c r="W231" s="19" t="s">
        <v>1056</v>
      </c>
      <c r="X231" s="19" t="s">
        <v>265</v>
      </c>
      <c r="Y231" s="12">
        <v>43177</v>
      </c>
      <c r="Z231" s="12">
        <v>43171</v>
      </c>
      <c r="AA231" s="12">
        <v>43177</v>
      </c>
    </row>
    <row r="232" spans="1:27" x14ac:dyDescent="0.25">
      <c r="A232">
        <v>228</v>
      </c>
      <c r="B232" s="19" t="s">
        <v>253</v>
      </c>
      <c r="C232" s="19" t="s">
        <v>254</v>
      </c>
      <c r="D232" s="19" t="s">
        <v>261</v>
      </c>
      <c r="E232" s="19" t="s">
        <v>262</v>
      </c>
      <c r="F232" s="19" t="s">
        <v>646</v>
      </c>
      <c r="G232" s="12">
        <v>43150</v>
      </c>
      <c r="H232" s="12">
        <v>43168</v>
      </c>
      <c r="I232">
        <v>10</v>
      </c>
      <c r="J232" s="12">
        <v>43154</v>
      </c>
      <c r="K232" t="b">
        <v>1</v>
      </c>
      <c r="L232" s="12">
        <v>43151</v>
      </c>
      <c r="M232" t="b">
        <v>0</v>
      </c>
      <c r="N232">
        <v>1</v>
      </c>
      <c r="O232">
        <v>1</v>
      </c>
      <c r="P232" s="19" t="s">
        <v>446</v>
      </c>
      <c r="Q232" s="19" t="s">
        <v>259</v>
      </c>
      <c r="R232" s="19" t="s">
        <v>121</v>
      </c>
      <c r="S232" s="19" t="s">
        <v>122</v>
      </c>
      <c r="T232" s="16">
        <v>72.489999999999995</v>
      </c>
      <c r="U232" s="16">
        <v>16.760000000000002</v>
      </c>
      <c r="V232" s="16">
        <v>89.25</v>
      </c>
      <c r="W232" s="19" t="s">
        <v>1053</v>
      </c>
      <c r="X232" s="19" t="s">
        <v>265</v>
      </c>
      <c r="Y232" s="12">
        <v>43177</v>
      </c>
      <c r="Z232" s="12">
        <v>43171</v>
      </c>
      <c r="AA232" s="12">
        <v>43177</v>
      </c>
    </row>
    <row r="233" spans="1:27" x14ac:dyDescent="0.25">
      <c r="A233">
        <v>229</v>
      </c>
      <c r="B233" s="19" t="s">
        <v>253</v>
      </c>
      <c r="C233" s="19" t="s">
        <v>254</v>
      </c>
      <c r="D233" s="19" t="s">
        <v>255</v>
      </c>
      <c r="E233" s="19" t="s">
        <v>256</v>
      </c>
      <c r="F233" s="19" t="s">
        <v>647</v>
      </c>
      <c r="G233" s="12">
        <v>43150</v>
      </c>
      <c r="H233" s="12">
        <v>43168</v>
      </c>
      <c r="I233">
        <v>10</v>
      </c>
      <c r="J233" s="12">
        <v>43154</v>
      </c>
      <c r="K233" t="b">
        <v>1</v>
      </c>
      <c r="L233" s="12"/>
      <c r="M233" t="b">
        <v>0</v>
      </c>
      <c r="N233">
        <v>1</v>
      </c>
      <c r="O233">
        <v>1</v>
      </c>
      <c r="P233" s="19" t="s">
        <v>648</v>
      </c>
      <c r="Q233" s="19" t="s">
        <v>259</v>
      </c>
      <c r="R233" s="19" t="s">
        <v>121</v>
      </c>
      <c r="S233" s="19" t="s">
        <v>121</v>
      </c>
      <c r="T233" s="16">
        <v>49.99</v>
      </c>
      <c r="U233" s="16">
        <v>12.69</v>
      </c>
      <c r="V233" s="16">
        <v>62.68</v>
      </c>
      <c r="W233" s="19" t="s">
        <v>1057</v>
      </c>
      <c r="X233" s="19" t="s">
        <v>260</v>
      </c>
      <c r="Y233" s="12">
        <v>43177</v>
      </c>
      <c r="Z233" s="12">
        <v>43171</v>
      </c>
      <c r="AA233" s="12">
        <v>43177</v>
      </c>
    </row>
    <row r="234" spans="1:27" x14ac:dyDescent="0.25">
      <c r="A234">
        <v>230</v>
      </c>
      <c r="B234" s="19" t="s">
        <v>253</v>
      </c>
      <c r="C234" s="19" t="s">
        <v>254</v>
      </c>
      <c r="D234" s="19" t="s">
        <v>261</v>
      </c>
      <c r="E234" s="19" t="s">
        <v>262</v>
      </c>
      <c r="F234" s="19" t="s">
        <v>649</v>
      </c>
      <c r="G234" s="12">
        <v>43150</v>
      </c>
      <c r="H234" s="12">
        <v>43168</v>
      </c>
      <c r="I234">
        <v>10</v>
      </c>
      <c r="J234" s="12">
        <v>43154</v>
      </c>
      <c r="K234" t="b">
        <v>1</v>
      </c>
      <c r="L234" s="12">
        <v>43151</v>
      </c>
      <c r="M234" t="b">
        <v>0</v>
      </c>
      <c r="N234">
        <v>1</v>
      </c>
      <c r="O234">
        <v>1</v>
      </c>
      <c r="P234" s="19" t="s">
        <v>650</v>
      </c>
      <c r="Q234" s="19" t="s">
        <v>259</v>
      </c>
      <c r="R234" s="19" t="s">
        <v>121</v>
      </c>
      <c r="S234" s="19" t="s">
        <v>131</v>
      </c>
      <c r="T234" s="16">
        <v>29.99</v>
      </c>
      <c r="U234" s="16">
        <v>14.1</v>
      </c>
      <c r="V234" s="16">
        <v>44.09</v>
      </c>
      <c r="W234" s="19" t="s">
        <v>1053</v>
      </c>
      <c r="X234" s="19" t="s">
        <v>265</v>
      </c>
      <c r="Y234" s="12">
        <v>43177</v>
      </c>
      <c r="Z234" s="12">
        <v>43171</v>
      </c>
      <c r="AA234" s="12">
        <v>43177</v>
      </c>
    </row>
    <row r="235" spans="1:27" x14ac:dyDescent="0.25">
      <c r="A235">
        <v>231</v>
      </c>
      <c r="B235" s="19" t="s">
        <v>253</v>
      </c>
      <c r="C235" s="19" t="s">
        <v>254</v>
      </c>
      <c r="D235" s="19" t="s">
        <v>255</v>
      </c>
      <c r="E235" s="19" t="s">
        <v>256</v>
      </c>
      <c r="F235" s="19" t="s">
        <v>651</v>
      </c>
      <c r="G235" s="12">
        <v>43146</v>
      </c>
      <c r="H235" s="12">
        <v>43168</v>
      </c>
      <c r="I235">
        <v>10</v>
      </c>
      <c r="J235" s="12">
        <v>43154</v>
      </c>
      <c r="K235" t="b">
        <v>1</v>
      </c>
      <c r="L235" s="12"/>
      <c r="M235" t="b">
        <v>0</v>
      </c>
      <c r="N235">
        <v>1</v>
      </c>
      <c r="O235">
        <v>1</v>
      </c>
      <c r="P235" s="19" t="s">
        <v>652</v>
      </c>
      <c r="Q235" s="19" t="s">
        <v>259</v>
      </c>
      <c r="R235" s="19" t="s">
        <v>121</v>
      </c>
      <c r="S235" s="19" t="s">
        <v>122</v>
      </c>
      <c r="T235" s="16">
        <v>19.989999999999998</v>
      </c>
      <c r="U235" s="16">
        <v>15.11</v>
      </c>
      <c r="V235" s="16">
        <v>35.1</v>
      </c>
      <c r="W235" s="19" t="s">
        <v>1058</v>
      </c>
      <c r="X235" s="19" t="s">
        <v>260</v>
      </c>
      <c r="Y235" s="12">
        <v>43177</v>
      </c>
      <c r="Z235" s="12">
        <v>43171</v>
      </c>
      <c r="AA235" s="12">
        <v>43177</v>
      </c>
    </row>
    <row r="236" spans="1:27" x14ac:dyDescent="0.25">
      <c r="A236">
        <v>232</v>
      </c>
      <c r="B236" s="19" t="s">
        <v>253</v>
      </c>
      <c r="C236" s="19" t="s">
        <v>254</v>
      </c>
      <c r="D236" s="19" t="s">
        <v>261</v>
      </c>
      <c r="E236" s="19" t="s">
        <v>262</v>
      </c>
      <c r="F236" s="19" t="s">
        <v>653</v>
      </c>
      <c r="G236" s="12">
        <v>43150</v>
      </c>
      <c r="H236" s="12">
        <v>43168</v>
      </c>
      <c r="I236">
        <v>10</v>
      </c>
      <c r="J236" s="12">
        <v>43157</v>
      </c>
      <c r="K236" t="b">
        <v>1</v>
      </c>
      <c r="L236" s="12">
        <v>43157</v>
      </c>
      <c r="M236" t="b">
        <v>0</v>
      </c>
      <c r="N236">
        <v>1</v>
      </c>
      <c r="O236">
        <v>1</v>
      </c>
      <c r="P236" s="19" t="s">
        <v>405</v>
      </c>
      <c r="Q236" s="19" t="s">
        <v>259</v>
      </c>
      <c r="R236" s="19" t="s">
        <v>121</v>
      </c>
      <c r="S236" s="19" t="s">
        <v>121</v>
      </c>
      <c r="T236" s="16">
        <v>18.899999999999999</v>
      </c>
      <c r="U236" s="16">
        <v>11.85</v>
      </c>
      <c r="V236" s="16">
        <v>30.75</v>
      </c>
      <c r="W236" s="19" t="s">
        <v>1059</v>
      </c>
      <c r="X236" s="19" t="s">
        <v>265</v>
      </c>
      <c r="Y236" s="12">
        <v>43177</v>
      </c>
      <c r="Z236" s="12">
        <v>43171</v>
      </c>
      <c r="AA236" s="12">
        <v>43177</v>
      </c>
    </row>
    <row r="237" spans="1:27" x14ac:dyDescent="0.25">
      <c r="A237">
        <v>233</v>
      </c>
      <c r="B237" s="19" t="s">
        <v>253</v>
      </c>
      <c r="C237" s="19" t="s">
        <v>254</v>
      </c>
      <c r="D237" s="19" t="s">
        <v>261</v>
      </c>
      <c r="E237" s="19" t="s">
        <v>262</v>
      </c>
      <c r="F237" s="19" t="s">
        <v>654</v>
      </c>
      <c r="G237" s="12">
        <v>43153</v>
      </c>
      <c r="H237" s="12">
        <v>43168</v>
      </c>
      <c r="I237">
        <v>10</v>
      </c>
      <c r="J237" s="12">
        <v>43159</v>
      </c>
      <c r="K237" t="b">
        <v>1</v>
      </c>
      <c r="L237" s="12">
        <v>43154</v>
      </c>
      <c r="M237" t="b">
        <v>0</v>
      </c>
      <c r="N237">
        <v>1</v>
      </c>
      <c r="O237">
        <v>1</v>
      </c>
      <c r="P237" s="19" t="s">
        <v>655</v>
      </c>
      <c r="Q237" s="19" t="s">
        <v>259</v>
      </c>
      <c r="R237" s="19" t="s">
        <v>122</v>
      </c>
      <c r="S237" s="19" t="s">
        <v>122</v>
      </c>
      <c r="T237" s="16">
        <v>59.9</v>
      </c>
      <c r="U237" s="16">
        <v>8.27</v>
      </c>
      <c r="V237" s="16">
        <v>68.17</v>
      </c>
      <c r="W237" s="19" t="s">
        <v>1060</v>
      </c>
      <c r="X237" s="19" t="s">
        <v>265</v>
      </c>
      <c r="Y237" s="12">
        <v>43177</v>
      </c>
      <c r="Z237" s="12">
        <v>43171</v>
      </c>
      <c r="AA237" s="12">
        <v>43177</v>
      </c>
    </row>
    <row r="238" spans="1:27" x14ac:dyDescent="0.25">
      <c r="A238">
        <v>234</v>
      </c>
      <c r="B238" s="19" t="s">
        <v>253</v>
      </c>
      <c r="C238" s="19" t="s">
        <v>254</v>
      </c>
      <c r="D238" s="19" t="s">
        <v>255</v>
      </c>
      <c r="E238" s="19" t="s">
        <v>256</v>
      </c>
      <c r="F238" s="19" t="s">
        <v>656</v>
      </c>
      <c r="G238" s="12">
        <v>43142</v>
      </c>
      <c r="H238" s="12">
        <v>43168</v>
      </c>
      <c r="I238">
        <v>10</v>
      </c>
      <c r="J238" s="12"/>
      <c r="K238" t="b">
        <v>1</v>
      </c>
      <c r="L238" s="12"/>
      <c r="M238" t="b">
        <v>0</v>
      </c>
      <c r="N238">
        <v>0</v>
      </c>
      <c r="O238">
        <v>0</v>
      </c>
      <c r="P238" s="19" t="s">
        <v>172</v>
      </c>
      <c r="Q238" s="19" t="s">
        <v>285</v>
      </c>
      <c r="R238" s="19" t="s">
        <v>172</v>
      </c>
      <c r="S238" s="19" t="s">
        <v>121</v>
      </c>
      <c r="T238" s="16">
        <v>0</v>
      </c>
      <c r="U238" s="16">
        <v>0</v>
      </c>
      <c r="V238" s="16">
        <v>51.68</v>
      </c>
      <c r="W238" s="19" t="s">
        <v>172</v>
      </c>
      <c r="X238" s="19" t="s">
        <v>260</v>
      </c>
      <c r="Y238" s="12">
        <v>43177</v>
      </c>
      <c r="Z238" s="12">
        <v>43171</v>
      </c>
      <c r="AA238" s="12">
        <v>43177</v>
      </c>
    </row>
    <row r="239" spans="1:27" x14ac:dyDescent="0.25">
      <c r="A239">
        <v>235</v>
      </c>
      <c r="B239" s="19" t="s">
        <v>657</v>
      </c>
      <c r="C239" s="19" t="s">
        <v>254</v>
      </c>
      <c r="D239" s="19" t="s">
        <v>261</v>
      </c>
      <c r="E239" s="19" t="s">
        <v>262</v>
      </c>
      <c r="F239" s="19" t="s">
        <v>1061</v>
      </c>
      <c r="G239" s="12">
        <v>43137</v>
      </c>
      <c r="H239" s="12">
        <v>43171</v>
      </c>
      <c r="I239">
        <v>7</v>
      </c>
      <c r="J239" s="12">
        <v>43143</v>
      </c>
      <c r="K239" t="b">
        <v>1</v>
      </c>
      <c r="L239" s="12">
        <v>43147</v>
      </c>
      <c r="M239" t="b">
        <v>1</v>
      </c>
      <c r="N239">
        <v>1</v>
      </c>
      <c r="O239">
        <v>1</v>
      </c>
      <c r="P239" s="19" t="s">
        <v>1062</v>
      </c>
      <c r="Q239" s="19" t="s">
        <v>259</v>
      </c>
      <c r="R239" s="19" t="s">
        <v>125</v>
      </c>
      <c r="S239" s="19" t="s">
        <v>184</v>
      </c>
      <c r="T239" s="16">
        <v>213.75</v>
      </c>
      <c r="U239" s="16">
        <v>36.82</v>
      </c>
      <c r="V239" s="16">
        <v>250.57</v>
      </c>
      <c r="W239" s="19" t="s">
        <v>1063</v>
      </c>
      <c r="X239" s="19" t="s">
        <v>265</v>
      </c>
      <c r="Y239" s="12">
        <v>43177</v>
      </c>
      <c r="Z239" s="12">
        <v>43171</v>
      </c>
      <c r="AA239" s="12">
        <v>43177</v>
      </c>
    </row>
    <row r="240" spans="1:27" x14ac:dyDescent="0.25">
      <c r="A240">
        <v>236</v>
      </c>
      <c r="B240" s="19" t="s">
        <v>657</v>
      </c>
      <c r="C240" s="19" t="s">
        <v>254</v>
      </c>
      <c r="D240" s="19" t="s">
        <v>261</v>
      </c>
      <c r="E240" s="19" t="s">
        <v>262</v>
      </c>
      <c r="F240" s="19" t="s">
        <v>1064</v>
      </c>
      <c r="G240" s="12">
        <v>43137</v>
      </c>
      <c r="H240" s="12">
        <v>43171</v>
      </c>
      <c r="I240">
        <v>7</v>
      </c>
      <c r="J240" s="12">
        <v>43143</v>
      </c>
      <c r="K240" t="b">
        <v>1</v>
      </c>
      <c r="L240" s="12">
        <v>43137</v>
      </c>
      <c r="M240" t="b">
        <v>1</v>
      </c>
      <c r="N240">
        <v>1</v>
      </c>
      <c r="O240">
        <v>1</v>
      </c>
      <c r="P240" s="19" t="s">
        <v>1065</v>
      </c>
      <c r="Q240" s="19" t="s">
        <v>259</v>
      </c>
      <c r="R240" s="19" t="s">
        <v>121</v>
      </c>
      <c r="S240" s="19" t="s">
        <v>178</v>
      </c>
      <c r="T240" s="16">
        <v>139</v>
      </c>
      <c r="U240" s="16">
        <v>59.14</v>
      </c>
      <c r="V240" s="16">
        <v>198.14</v>
      </c>
      <c r="W240" s="19" t="s">
        <v>1066</v>
      </c>
      <c r="X240" s="19" t="s">
        <v>265</v>
      </c>
      <c r="Y240" s="12">
        <v>43177</v>
      </c>
      <c r="Z240" s="12">
        <v>43171</v>
      </c>
      <c r="AA240" s="12">
        <v>43177</v>
      </c>
    </row>
    <row r="241" spans="1:27" x14ac:dyDescent="0.25">
      <c r="A241">
        <v>237</v>
      </c>
      <c r="B241" s="19" t="s">
        <v>657</v>
      </c>
      <c r="C241" s="19" t="s">
        <v>254</v>
      </c>
      <c r="D241" s="19" t="s">
        <v>261</v>
      </c>
      <c r="E241" s="19" t="s">
        <v>262</v>
      </c>
      <c r="F241" s="19" t="s">
        <v>1067</v>
      </c>
      <c r="G241" s="12">
        <v>43137</v>
      </c>
      <c r="H241" s="12">
        <v>43171</v>
      </c>
      <c r="I241">
        <v>7</v>
      </c>
      <c r="J241" s="12">
        <v>43143</v>
      </c>
      <c r="K241" t="b">
        <v>1</v>
      </c>
      <c r="L241" s="12">
        <v>43138</v>
      </c>
      <c r="M241" t="b">
        <v>1</v>
      </c>
      <c r="N241">
        <v>1</v>
      </c>
      <c r="O241">
        <v>1</v>
      </c>
      <c r="P241" s="19" t="s">
        <v>1068</v>
      </c>
      <c r="Q241" s="19" t="s">
        <v>259</v>
      </c>
      <c r="R241" s="19" t="s">
        <v>138</v>
      </c>
      <c r="S241" s="19" t="s">
        <v>121</v>
      </c>
      <c r="T241" s="16">
        <v>109.9</v>
      </c>
      <c r="U241" s="16">
        <v>15.53</v>
      </c>
      <c r="V241" s="16">
        <v>125.43</v>
      </c>
      <c r="W241" s="19" t="s">
        <v>1069</v>
      </c>
      <c r="X241" s="19" t="s">
        <v>265</v>
      </c>
      <c r="Y241" s="12">
        <v>43177</v>
      </c>
      <c r="Z241" s="12">
        <v>43171</v>
      </c>
      <c r="AA241" s="12">
        <v>43177</v>
      </c>
    </row>
    <row r="242" spans="1:27" x14ac:dyDescent="0.25">
      <c r="A242">
        <v>238</v>
      </c>
      <c r="B242" s="19" t="s">
        <v>657</v>
      </c>
      <c r="C242" s="19" t="s">
        <v>254</v>
      </c>
      <c r="D242" s="19" t="s">
        <v>261</v>
      </c>
      <c r="E242" s="19" t="s">
        <v>262</v>
      </c>
      <c r="F242" s="19" t="s">
        <v>1070</v>
      </c>
      <c r="G242" s="12">
        <v>43138</v>
      </c>
      <c r="H242" s="12">
        <v>43171</v>
      </c>
      <c r="I242">
        <v>7</v>
      </c>
      <c r="J242" s="12">
        <v>43144</v>
      </c>
      <c r="K242" t="b">
        <v>1</v>
      </c>
      <c r="L242" s="12">
        <v>43138</v>
      </c>
      <c r="M242" t="b">
        <v>1</v>
      </c>
      <c r="N242">
        <v>1</v>
      </c>
      <c r="O242">
        <v>1</v>
      </c>
      <c r="P242" s="19" t="s">
        <v>485</v>
      </c>
      <c r="Q242" s="19" t="s">
        <v>259</v>
      </c>
      <c r="R242" s="19" t="s">
        <v>121</v>
      </c>
      <c r="S242" s="19" t="s">
        <v>152</v>
      </c>
      <c r="T242" s="16">
        <v>229.99</v>
      </c>
      <c r="U242" s="16">
        <v>34.06</v>
      </c>
      <c r="V242" s="16">
        <v>264.05</v>
      </c>
      <c r="W242" s="19" t="s">
        <v>1069</v>
      </c>
      <c r="X242" s="19" t="s">
        <v>265</v>
      </c>
      <c r="Y242" s="12">
        <v>43177</v>
      </c>
      <c r="Z242" s="12">
        <v>43171</v>
      </c>
      <c r="AA242" s="12">
        <v>43177</v>
      </c>
    </row>
    <row r="243" spans="1:27" x14ac:dyDescent="0.25">
      <c r="A243">
        <v>239</v>
      </c>
      <c r="B243" s="19" t="s">
        <v>657</v>
      </c>
      <c r="C243" s="19" t="s">
        <v>254</v>
      </c>
      <c r="D243" s="19" t="s">
        <v>261</v>
      </c>
      <c r="E243" s="19" t="s">
        <v>262</v>
      </c>
      <c r="F243" s="19" t="s">
        <v>1071</v>
      </c>
      <c r="G243" s="12">
        <v>43138</v>
      </c>
      <c r="H243" s="12">
        <v>43171</v>
      </c>
      <c r="I243">
        <v>7</v>
      </c>
      <c r="J243" s="12">
        <v>43144</v>
      </c>
      <c r="K243" t="b">
        <v>1</v>
      </c>
      <c r="L243" s="12">
        <v>43160</v>
      </c>
      <c r="M243" t="b">
        <v>1</v>
      </c>
      <c r="N243">
        <v>1</v>
      </c>
      <c r="O243">
        <v>1</v>
      </c>
      <c r="P243" s="19" t="s">
        <v>1072</v>
      </c>
      <c r="Q243" s="19" t="s">
        <v>259</v>
      </c>
      <c r="R243" s="19" t="s">
        <v>121</v>
      </c>
      <c r="S243" s="19" t="s">
        <v>125</v>
      </c>
      <c r="T243" s="16">
        <v>29.9</v>
      </c>
      <c r="U243" s="16">
        <v>17.600000000000001</v>
      </c>
      <c r="V243" s="16">
        <v>47.5</v>
      </c>
      <c r="W243" s="19" t="s">
        <v>1073</v>
      </c>
      <c r="X243" s="19" t="s">
        <v>265</v>
      </c>
      <c r="Y243" s="12">
        <v>43177</v>
      </c>
      <c r="Z243" s="12">
        <v>43171</v>
      </c>
      <c r="AA243" s="12">
        <v>43177</v>
      </c>
    </row>
    <row r="244" spans="1:27" x14ac:dyDescent="0.25">
      <c r="A244">
        <v>240</v>
      </c>
      <c r="B244" s="19" t="s">
        <v>657</v>
      </c>
      <c r="C244" s="19" t="s">
        <v>254</v>
      </c>
      <c r="D244" s="19" t="s">
        <v>261</v>
      </c>
      <c r="E244" s="19" t="s">
        <v>262</v>
      </c>
      <c r="F244" s="19" t="s">
        <v>1074</v>
      </c>
      <c r="G244" s="12">
        <v>43136</v>
      </c>
      <c r="H244" s="12">
        <v>43171</v>
      </c>
      <c r="I244">
        <v>7</v>
      </c>
      <c r="J244" s="12">
        <v>43145</v>
      </c>
      <c r="K244" t="b">
        <v>1</v>
      </c>
      <c r="L244" s="12">
        <v>43138</v>
      </c>
      <c r="M244" t="b">
        <v>1</v>
      </c>
      <c r="N244">
        <v>1</v>
      </c>
      <c r="O244">
        <v>1</v>
      </c>
      <c r="P244" s="19" t="s">
        <v>356</v>
      </c>
      <c r="Q244" s="19" t="s">
        <v>259</v>
      </c>
      <c r="R244" s="19" t="s">
        <v>121</v>
      </c>
      <c r="S244" s="19" t="s">
        <v>189</v>
      </c>
      <c r="T244" s="16">
        <v>79</v>
      </c>
      <c r="U244" s="16">
        <v>38.1</v>
      </c>
      <c r="V244" s="16">
        <v>117.1</v>
      </c>
      <c r="W244" s="19" t="s">
        <v>1069</v>
      </c>
      <c r="X244" s="19" t="s">
        <v>265</v>
      </c>
      <c r="Y244" s="12">
        <v>43177</v>
      </c>
      <c r="Z244" s="12">
        <v>43171</v>
      </c>
      <c r="AA244" s="12">
        <v>43177</v>
      </c>
    </row>
    <row r="245" spans="1:27" x14ac:dyDescent="0.25">
      <c r="A245">
        <v>241</v>
      </c>
      <c r="B245" s="19" t="s">
        <v>657</v>
      </c>
      <c r="C245" s="19" t="s">
        <v>254</v>
      </c>
      <c r="D245" s="19" t="s">
        <v>261</v>
      </c>
      <c r="E245" s="19" t="s">
        <v>262</v>
      </c>
      <c r="F245" s="19" t="s">
        <v>1075</v>
      </c>
      <c r="G245" s="12">
        <v>43144</v>
      </c>
      <c r="H245" s="12">
        <v>43171</v>
      </c>
      <c r="I245">
        <v>7</v>
      </c>
      <c r="J245" s="12">
        <v>43150</v>
      </c>
      <c r="K245" t="b">
        <v>1</v>
      </c>
      <c r="L245" s="12">
        <v>43145</v>
      </c>
      <c r="M245" t="b">
        <v>1</v>
      </c>
      <c r="N245">
        <v>1</v>
      </c>
      <c r="O245">
        <v>1</v>
      </c>
      <c r="P245" s="19" t="s">
        <v>1076</v>
      </c>
      <c r="Q245" s="19" t="s">
        <v>259</v>
      </c>
      <c r="R245" s="19" t="s">
        <v>135</v>
      </c>
      <c r="S245" s="19" t="s">
        <v>122</v>
      </c>
      <c r="T245" s="16">
        <v>119.9</v>
      </c>
      <c r="U245" s="16">
        <v>20.079999999999998</v>
      </c>
      <c r="V245" s="16">
        <v>139.97999999999999</v>
      </c>
      <c r="W245" s="19" t="s">
        <v>1077</v>
      </c>
      <c r="X245" s="19" t="s">
        <v>265</v>
      </c>
      <c r="Y245" s="12">
        <v>43177</v>
      </c>
      <c r="Z245" s="12">
        <v>43171</v>
      </c>
      <c r="AA245" s="12">
        <v>43177</v>
      </c>
    </row>
    <row r="246" spans="1:27" x14ac:dyDescent="0.25">
      <c r="A246">
        <v>242</v>
      </c>
      <c r="B246" s="19" t="s">
        <v>657</v>
      </c>
      <c r="C246" s="19" t="s">
        <v>254</v>
      </c>
      <c r="D246" s="19" t="s">
        <v>261</v>
      </c>
      <c r="E246" s="19" t="s">
        <v>262</v>
      </c>
      <c r="F246" s="19" t="s">
        <v>1078</v>
      </c>
      <c r="G246" s="12">
        <v>43144</v>
      </c>
      <c r="H246" s="12">
        <v>43171</v>
      </c>
      <c r="I246">
        <v>7</v>
      </c>
      <c r="J246" s="12">
        <v>43150</v>
      </c>
      <c r="K246" t="b">
        <v>1</v>
      </c>
      <c r="L246" s="12">
        <v>43145</v>
      </c>
      <c r="M246" t="b">
        <v>1</v>
      </c>
      <c r="N246">
        <v>1</v>
      </c>
      <c r="O246">
        <v>1</v>
      </c>
      <c r="P246" s="19" t="s">
        <v>606</v>
      </c>
      <c r="Q246" s="19" t="s">
        <v>259</v>
      </c>
      <c r="R246" s="19" t="s">
        <v>135</v>
      </c>
      <c r="S246" s="19" t="s">
        <v>125</v>
      </c>
      <c r="T246" s="16">
        <v>19.899999999999999</v>
      </c>
      <c r="U246" s="16">
        <v>15.1</v>
      </c>
      <c r="V246" s="16">
        <v>35</v>
      </c>
      <c r="W246" s="19" t="s">
        <v>1077</v>
      </c>
      <c r="X246" s="19" t="s">
        <v>265</v>
      </c>
      <c r="Y246" s="12">
        <v>43177</v>
      </c>
      <c r="Z246" s="12">
        <v>43171</v>
      </c>
      <c r="AA246" s="12">
        <v>43177</v>
      </c>
    </row>
    <row r="247" spans="1:27" x14ac:dyDescent="0.25">
      <c r="A247">
        <v>243</v>
      </c>
      <c r="B247" s="19" t="s">
        <v>657</v>
      </c>
      <c r="C247" s="19" t="s">
        <v>254</v>
      </c>
      <c r="D247" s="19" t="s">
        <v>261</v>
      </c>
      <c r="E247" s="19" t="s">
        <v>262</v>
      </c>
      <c r="F247" s="19" t="s">
        <v>1079</v>
      </c>
      <c r="G247" s="12">
        <v>43144</v>
      </c>
      <c r="H247" s="12">
        <v>43171</v>
      </c>
      <c r="I247">
        <v>7</v>
      </c>
      <c r="J247" s="12">
        <v>43151</v>
      </c>
      <c r="K247" t="b">
        <v>1</v>
      </c>
      <c r="L247" s="12">
        <v>43145</v>
      </c>
      <c r="M247" t="b">
        <v>1</v>
      </c>
      <c r="N247">
        <v>1</v>
      </c>
      <c r="O247">
        <v>1</v>
      </c>
      <c r="P247" s="19" t="s">
        <v>621</v>
      </c>
      <c r="Q247" s="19" t="s">
        <v>259</v>
      </c>
      <c r="R247" s="19" t="s">
        <v>121</v>
      </c>
      <c r="S247" s="19" t="s">
        <v>127</v>
      </c>
      <c r="T247" s="16">
        <v>199</v>
      </c>
      <c r="U247" s="16">
        <v>16.14</v>
      </c>
      <c r="V247" s="16">
        <v>215.14</v>
      </c>
      <c r="W247" s="19" t="s">
        <v>1077</v>
      </c>
      <c r="X247" s="19" t="s">
        <v>265</v>
      </c>
      <c r="Y247" s="12">
        <v>43177</v>
      </c>
      <c r="Z247" s="12">
        <v>43171</v>
      </c>
      <c r="AA247" s="12">
        <v>43177</v>
      </c>
    </row>
    <row r="248" spans="1:27" x14ac:dyDescent="0.25">
      <c r="A248">
        <v>244</v>
      </c>
      <c r="B248" s="19" t="s">
        <v>657</v>
      </c>
      <c r="C248" s="19" t="s">
        <v>254</v>
      </c>
      <c r="D248" s="19" t="s">
        <v>261</v>
      </c>
      <c r="E248" s="19" t="s">
        <v>262</v>
      </c>
      <c r="F248" s="19" t="s">
        <v>1080</v>
      </c>
      <c r="G248" s="12">
        <v>43145</v>
      </c>
      <c r="H248" s="12">
        <v>43171</v>
      </c>
      <c r="I248">
        <v>7</v>
      </c>
      <c r="J248" s="12">
        <v>43151</v>
      </c>
      <c r="K248" t="b">
        <v>1</v>
      </c>
      <c r="L248" s="12">
        <v>43146</v>
      </c>
      <c r="M248" t="b">
        <v>1</v>
      </c>
      <c r="N248">
        <v>1</v>
      </c>
      <c r="O248">
        <v>1</v>
      </c>
      <c r="P248" s="19" t="s">
        <v>1081</v>
      </c>
      <c r="Q248" s="19" t="s">
        <v>259</v>
      </c>
      <c r="R248" s="19" t="s">
        <v>121</v>
      </c>
      <c r="S248" s="19" t="s">
        <v>131</v>
      </c>
      <c r="T248" s="16">
        <v>109.99</v>
      </c>
      <c r="U248" s="16">
        <v>16.53</v>
      </c>
      <c r="V248" s="16">
        <v>126.52</v>
      </c>
      <c r="W248" s="19" t="s">
        <v>1082</v>
      </c>
      <c r="X248" s="19" t="s">
        <v>265</v>
      </c>
      <c r="Y248" s="12">
        <v>43177</v>
      </c>
      <c r="Z248" s="12">
        <v>43171</v>
      </c>
      <c r="AA248" s="12">
        <v>43177</v>
      </c>
    </row>
    <row r="249" spans="1:27" x14ac:dyDescent="0.25">
      <c r="A249">
        <v>245</v>
      </c>
      <c r="B249" s="19" t="s">
        <v>657</v>
      </c>
      <c r="C249" s="19" t="s">
        <v>254</v>
      </c>
      <c r="D249" s="19" t="s">
        <v>261</v>
      </c>
      <c r="E249" s="19" t="s">
        <v>262</v>
      </c>
      <c r="F249" s="19" t="s">
        <v>1083</v>
      </c>
      <c r="G249" s="12">
        <v>43143</v>
      </c>
      <c r="H249" s="12">
        <v>43171</v>
      </c>
      <c r="I249">
        <v>7</v>
      </c>
      <c r="J249" s="12">
        <v>43151</v>
      </c>
      <c r="K249" t="b">
        <v>1</v>
      </c>
      <c r="L249" s="12">
        <v>43147</v>
      </c>
      <c r="M249" t="b">
        <v>1</v>
      </c>
      <c r="N249">
        <v>1</v>
      </c>
      <c r="O249">
        <v>1</v>
      </c>
      <c r="P249" s="19" t="s">
        <v>1084</v>
      </c>
      <c r="Q249" s="19" t="s">
        <v>259</v>
      </c>
      <c r="R249" s="19" t="s">
        <v>121</v>
      </c>
      <c r="S249" s="19" t="s">
        <v>122</v>
      </c>
      <c r="T249" s="16">
        <v>59.99</v>
      </c>
      <c r="U249" s="16">
        <v>17.670000000000002</v>
      </c>
      <c r="V249" s="16">
        <v>77.66</v>
      </c>
      <c r="W249" s="19" t="s">
        <v>1063</v>
      </c>
      <c r="X249" s="19" t="s">
        <v>265</v>
      </c>
      <c r="Y249" s="12">
        <v>43177</v>
      </c>
      <c r="Z249" s="12">
        <v>43171</v>
      </c>
      <c r="AA249" s="12">
        <v>43177</v>
      </c>
    </row>
    <row r="250" spans="1:27" x14ac:dyDescent="0.25">
      <c r="A250">
        <v>246</v>
      </c>
      <c r="B250" s="19" t="s">
        <v>657</v>
      </c>
      <c r="C250" s="19" t="s">
        <v>254</v>
      </c>
      <c r="D250" s="19" t="s">
        <v>261</v>
      </c>
      <c r="E250" s="19" t="s">
        <v>262</v>
      </c>
      <c r="F250" s="19" t="s">
        <v>1085</v>
      </c>
      <c r="G250" s="12">
        <v>43146</v>
      </c>
      <c r="H250" s="12">
        <v>43171</v>
      </c>
      <c r="I250">
        <v>7</v>
      </c>
      <c r="J250" s="12">
        <v>43152</v>
      </c>
      <c r="K250" t="b">
        <v>1</v>
      </c>
      <c r="L250" s="12">
        <v>43152</v>
      </c>
      <c r="M250" t="b">
        <v>1</v>
      </c>
      <c r="N250">
        <v>1</v>
      </c>
      <c r="O250">
        <v>1</v>
      </c>
      <c r="P250" s="19" t="s">
        <v>356</v>
      </c>
      <c r="Q250" s="19" t="s">
        <v>259</v>
      </c>
      <c r="R250" s="19" t="s">
        <v>121</v>
      </c>
      <c r="S250" s="19" t="s">
        <v>122</v>
      </c>
      <c r="T250" s="16">
        <v>169</v>
      </c>
      <c r="U250" s="16">
        <v>18.43</v>
      </c>
      <c r="V250" s="16">
        <v>187.43</v>
      </c>
      <c r="W250" s="19" t="s">
        <v>1086</v>
      </c>
      <c r="X250" s="19" t="s">
        <v>265</v>
      </c>
      <c r="Y250" s="12">
        <v>43177</v>
      </c>
      <c r="Z250" s="12">
        <v>43171</v>
      </c>
      <c r="AA250" s="12">
        <v>43177</v>
      </c>
    </row>
    <row r="251" spans="1:27" x14ac:dyDescent="0.25">
      <c r="A251">
        <v>247</v>
      </c>
      <c r="B251" s="19" t="s">
        <v>657</v>
      </c>
      <c r="C251" s="19" t="s">
        <v>254</v>
      </c>
      <c r="D251" s="19" t="s">
        <v>261</v>
      </c>
      <c r="E251" s="19" t="s">
        <v>262</v>
      </c>
      <c r="F251" s="19" t="s">
        <v>1087</v>
      </c>
      <c r="G251" s="12">
        <v>43146</v>
      </c>
      <c r="H251" s="12">
        <v>43171</v>
      </c>
      <c r="I251">
        <v>7</v>
      </c>
      <c r="J251" s="12">
        <v>43152</v>
      </c>
      <c r="K251" t="b">
        <v>1</v>
      </c>
      <c r="L251" s="12">
        <v>43147</v>
      </c>
      <c r="M251" t="b">
        <v>1</v>
      </c>
      <c r="N251">
        <v>1</v>
      </c>
      <c r="O251">
        <v>1</v>
      </c>
      <c r="P251" s="19" t="s">
        <v>296</v>
      </c>
      <c r="Q251" s="19" t="s">
        <v>259</v>
      </c>
      <c r="R251" s="19" t="s">
        <v>135</v>
      </c>
      <c r="S251" s="19" t="s">
        <v>133</v>
      </c>
      <c r="T251" s="16">
        <v>59.9</v>
      </c>
      <c r="U251" s="16">
        <v>18.96</v>
      </c>
      <c r="V251" s="16">
        <v>78.86</v>
      </c>
      <c r="W251" s="19" t="s">
        <v>1063</v>
      </c>
      <c r="X251" s="19" t="s">
        <v>265</v>
      </c>
      <c r="Y251" s="12">
        <v>43177</v>
      </c>
      <c r="Z251" s="12">
        <v>43171</v>
      </c>
      <c r="AA251" s="12">
        <v>43177</v>
      </c>
    </row>
    <row r="252" spans="1:27" x14ac:dyDescent="0.25">
      <c r="A252">
        <v>248</v>
      </c>
      <c r="B252" s="19" t="s">
        <v>657</v>
      </c>
      <c r="C252" s="19" t="s">
        <v>254</v>
      </c>
      <c r="D252" s="19" t="s">
        <v>261</v>
      </c>
      <c r="E252" s="19" t="s">
        <v>262</v>
      </c>
      <c r="F252" s="19" t="s">
        <v>1088</v>
      </c>
      <c r="G252" s="12">
        <v>43145</v>
      </c>
      <c r="H252" s="12">
        <v>43171</v>
      </c>
      <c r="I252">
        <v>7</v>
      </c>
      <c r="J252" s="12">
        <v>43153</v>
      </c>
      <c r="K252" t="b">
        <v>1</v>
      </c>
      <c r="L252" s="12">
        <v>43152</v>
      </c>
      <c r="M252" t="b">
        <v>1</v>
      </c>
      <c r="N252">
        <v>2</v>
      </c>
      <c r="O252">
        <v>1</v>
      </c>
      <c r="P252" s="19" t="s">
        <v>1089</v>
      </c>
      <c r="Q252" s="19" t="s">
        <v>259</v>
      </c>
      <c r="R252" s="19" t="s">
        <v>121</v>
      </c>
      <c r="S252" s="19" t="s">
        <v>135</v>
      </c>
      <c r="T252" s="16">
        <v>779.8</v>
      </c>
      <c r="U252" s="16">
        <v>55.14</v>
      </c>
      <c r="V252" s="16">
        <v>834.94</v>
      </c>
      <c r="W252" s="19" t="s">
        <v>1086</v>
      </c>
      <c r="X252" s="19" t="s">
        <v>265</v>
      </c>
      <c r="Y252" s="12">
        <v>43177</v>
      </c>
      <c r="Z252" s="12">
        <v>43171</v>
      </c>
      <c r="AA252" s="12">
        <v>43177</v>
      </c>
    </row>
    <row r="253" spans="1:27" x14ac:dyDescent="0.25">
      <c r="A253">
        <v>249</v>
      </c>
      <c r="B253" s="19" t="s">
        <v>657</v>
      </c>
      <c r="C253" s="19" t="s">
        <v>254</v>
      </c>
      <c r="D253" s="19" t="s">
        <v>261</v>
      </c>
      <c r="E253" s="19" t="s">
        <v>262</v>
      </c>
      <c r="F253" s="19" t="s">
        <v>1090</v>
      </c>
      <c r="G253" s="12">
        <v>43147</v>
      </c>
      <c r="H253" s="12">
        <v>43171</v>
      </c>
      <c r="I253">
        <v>7</v>
      </c>
      <c r="J253" s="12">
        <v>43153</v>
      </c>
      <c r="K253" t="b">
        <v>1</v>
      </c>
      <c r="L253" s="12">
        <v>43154</v>
      </c>
      <c r="M253" t="b">
        <v>1</v>
      </c>
      <c r="N253">
        <v>1</v>
      </c>
      <c r="O253">
        <v>1</v>
      </c>
      <c r="P253" s="19" t="s">
        <v>1091</v>
      </c>
      <c r="Q253" s="19" t="s">
        <v>259</v>
      </c>
      <c r="R253" s="19" t="s">
        <v>148</v>
      </c>
      <c r="S253" s="19" t="s">
        <v>121</v>
      </c>
      <c r="T253" s="16">
        <v>149.9</v>
      </c>
      <c r="U253" s="16">
        <v>23.37</v>
      </c>
      <c r="V253" s="16">
        <v>173.27</v>
      </c>
      <c r="W253" s="19" t="s">
        <v>1092</v>
      </c>
      <c r="X253" s="19" t="s">
        <v>265</v>
      </c>
      <c r="Y253" s="12">
        <v>43177</v>
      </c>
      <c r="Z253" s="12">
        <v>43171</v>
      </c>
      <c r="AA253" s="12">
        <v>43177</v>
      </c>
    </row>
    <row r="254" spans="1:27" x14ac:dyDescent="0.25">
      <c r="A254">
        <v>250</v>
      </c>
      <c r="B254" s="19" t="s">
        <v>657</v>
      </c>
      <c r="C254" s="19" t="s">
        <v>254</v>
      </c>
      <c r="D254" s="19" t="s">
        <v>261</v>
      </c>
      <c r="E254" s="19" t="s">
        <v>262</v>
      </c>
      <c r="F254" s="19" t="s">
        <v>1093</v>
      </c>
      <c r="G254" s="12">
        <v>43147</v>
      </c>
      <c r="H254" s="12">
        <v>43171</v>
      </c>
      <c r="I254">
        <v>7</v>
      </c>
      <c r="J254" s="12">
        <v>43153</v>
      </c>
      <c r="K254" t="b">
        <v>1</v>
      </c>
      <c r="L254" s="12">
        <v>43147</v>
      </c>
      <c r="M254" t="b">
        <v>1</v>
      </c>
      <c r="N254">
        <v>1</v>
      </c>
      <c r="O254">
        <v>1</v>
      </c>
      <c r="P254" s="19" t="s">
        <v>343</v>
      </c>
      <c r="Q254" s="19" t="s">
        <v>259</v>
      </c>
      <c r="R254" s="19" t="s">
        <v>121</v>
      </c>
      <c r="S254" s="19" t="s">
        <v>131</v>
      </c>
      <c r="T254" s="16">
        <v>130.99</v>
      </c>
      <c r="U254" s="16">
        <v>18.170000000000002</v>
      </c>
      <c r="V254" s="16">
        <v>149.16</v>
      </c>
      <c r="W254" s="19" t="s">
        <v>1063</v>
      </c>
      <c r="X254" s="19" t="s">
        <v>265</v>
      </c>
      <c r="Y254" s="12">
        <v>43177</v>
      </c>
      <c r="Z254" s="12">
        <v>43171</v>
      </c>
      <c r="AA254" s="12">
        <v>43177</v>
      </c>
    </row>
    <row r="255" spans="1:27" x14ac:dyDescent="0.25">
      <c r="A255">
        <v>251</v>
      </c>
      <c r="B255" s="19" t="s">
        <v>657</v>
      </c>
      <c r="C255" s="19" t="s">
        <v>254</v>
      </c>
      <c r="D255" s="19" t="s">
        <v>261</v>
      </c>
      <c r="E255" s="19" t="s">
        <v>262</v>
      </c>
      <c r="F255" s="19" t="s">
        <v>1094</v>
      </c>
      <c r="G255" s="12">
        <v>43143</v>
      </c>
      <c r="H255" s="12">
        <v>43171</v>
      </c>
      <c r="I255">
        <v>7</v>
      </c>
      <c r="J255" s="12">
        <v>43153</v>
      </c>
      <c r="K255" t="b">
        <v>1</v>
      </c>
      <c r="L255" s="12">
        <v>43146</v>
      </c>
      <c r="M255" t="b">
        <v>1</v>
      </c>
      <c r="N255">
        <v>1</v>
      </c>
      <c r="O255">
        <v>1</v>
      </c>
      <c r="P255" s="19" t="s">
        <v>658</v>
      </c>
      <c r="Q255" s="19" t="s">
        <v>259</v>
      </c>
      <c r="R255" s="19" t="s">
        <v>135</v>
      </c>
      <c r="S255" s="19" t="s">
        <v>125</v>
      </c>
      <c r="T255" s="16">
        <v>84</v>
      </c>
      <c r="U255" s="16">
        <v>15.34</v>
      </c>
      <c r="V255" s="16">
        <v>99.34</v>
      </c>
      <c r="W255" s="19" t="s">
        <v>1082</v>
      </c>
      <c r="X255" s="19" t="s">
        <v>265</v>
      </c>
      <c r="Y255" s="12">
        <v>43177</v>
      </c>
      <c r="Z255" s="12">
        <v>43171</v>
      </c>
      <c r="AA255" s="12">
        <v>43177</v>
      </c>
    </row>
    <row r="256" spans="1:27" x14ac:dyDescent="0.25">
      <c r="A256">
        <v>252</v>
      </c>
      <c r="B256" s="19" t="s">
        <v>657</v>
      </c>
      <c r="C256" s="19" t="s">
        <v>254</v>
      </c>
      <c r="D256" s="19" t="s">
        <v>261</v>
      </c>
      <c r="E256" s="19" t="s">
        <v>262</v>
      </c>
      <c r="F256" s="19" t="s">
        <v>659</v>
      </c>
      <c r="G256" s="12">
        <v>43149</v>
      </c>
      <c r="H256" s="12">
        <v>43171</v>
      </c>
      <c r="I256">
        <v>7</v>
      </c>
      <c r="J256" s="12">
        <v>43153</v>
      </c>
      <c r="K256" t="b">
        <v>1</v>
      </c>
      <c r="L256" s="12">
        <v>43173</v>
      </c>
      <c r="M256" t="b">
        <v>1</v>
      </c>
      <c r="N256">
        <v>1</v>
      </c>
      <c r="O256">
        <v>1</v>
      </c>
      <c r="P256" s="19" t="s">
        <v>660</v>
      </c>
      <c r="Q256" s="19" t="s">
        <v>259</v>
      </c>
      <c r="R256" s="19" t="s">
        <v>121</v>
      </c>
      <c r="S256" s="19" t="s">
        <v>122</v>
      </c>
      <c r="T256" s="16">
        <v>54.9</v>
      </c>
      <c r="U256" s="16">
        <v>14.13</v>
      </c>
      <c r="V256" s="16">
        <v>69.03</v>
      </c>
      <c r="W256" s="19" t="s">
        <v>1095</v>
      </c>
      <c r="X256" s="19" t="s">
        <v>265</v>
      </c>
      <c r="Y256" s="12">
        <v>43177</v>
      </c>
      <c r="Z256" s="12">
        <v>43171</v>
      </c>
      <c r="AA256" s="12">
        <v>43177</v>
      </c>
    </row>
    <row r="257" spans="1:27" x14ac:dyDescent="0.25">
      <c r="A257">
        <v>253</v>
      </c>
      <c r="B257" s="19" t="s">
        <v>657</v>
      </c>
      <c r="C257" s="19" t="s">
        <v>254</v>
      </c>
      <c r="D257" s="19" t="s">
        <v>261</v>
      </c>
      <c r="E257" s="19" t="s">
        <v>262</v>
      </c>
      <c r="F257" s="19" t="s">
        <v>1096</v>
      </c>
      <c r="G257" s="12">
        <v>43149</v>
      </c>
      <c r="H257" s="12">
        <v>43171</v>
      </c>
      <c r="I257">
        <v>7</v>
      </c>
      <c r="J257" s="12">
        <v>43153</v>
      </c>
      <c r="K257" t="b">
        <v>1</v>
      </c>
      <c r="L257" s="12">
        <v>43150</v>
      </c>
      <c r="M257" t="b">
        <v>1</v>
      </c>
      <c r="N257">
        <v>1</v>
      </c>
      <c r="O257">
        <v>1</v>
      </c>
      <c r="P257" s="19" t="s">
        <v>1097</v>
      </c>
      <c r="Q257" s="19" t="s">
        <v>259</v>
      </c>
      <c r="R257" s="19" t="s">
        <v>121</v>
      </c>
      <c r="S257" s="19" t="s">
        <v>122</v>
      </c>
      <c r="T257" s="16">
        <v>29.9</v>
      </c>
      <c r="U257" s="16">
        <v>15.11</v>
      </c>
      <c r="V257" s="16">
        <v>45.01</v>
      </c>
      <c r="W257" s="19" t="s">
        <v>1098</v>
      </c>
      <c r="X257" s="19" t="s">
        <v>265</v>
      </c>
      <c r="Y257" s="12">
        <v>43177</v>
      </c>
      <c r="Z257" s="12">
        <v>43171</v>
      </c>
      <c r="AA257" s="12">
        <v>43177</v>
      </c>
    </row>
    <row r="258" spans="1:27" x14ac:dyDescent="0.25">
      <c r="A258">
        <v>254</v>
      </c>
      <c r="B258" s="19" t="s">
        <v>657</v>
      </c>
      <c r="C258" s="19" t="s">
        <v>254</v>
      </c>
      <c r="D258" s="19" t="s">
        <v>261</v>
      </c>
      <c r="E258" s="19" t="s">
        <v>262</v>
      </c>
      <c r="F258" s="19" t="s">
        <v>1099</v>
      </c>
      <c r="G258" s="12">
        <v>43148</v>
      </c>
      <c r="H258" s="12">
        <v>43171</v>
      </c>
      <c r="I258">
        <v>7</v>
      </c>
      <c r="J258" s="12">
        <v>43153</v>
      </c>
      <c r="K258" t="b">
        <v>1</v>
      </c>
      <c r="L258" s="12">
        <v>43153</v>
      </c>
      <c r="M258" t="b">
        <v>1</v>
      </c>
      <c r="N258">
        <v>1</v>
      </c>
      <c r="O258">
        <v>1</v>
      </c>
      <c r="P258" s="19" t="s">
        <v>405</v>
      </c>
      <c r="Q258" s="19" t="s">
        <v>259</v>
      </c>
      <c r="R258" s="19" t="s">
        <v>121</v>
      </c>
      <c r="S258" s="19" t="s">
        <v>122</v>
      </c>
      <c r="T258" s="16">
        <v>13.65</v>
      </c>
      <c r="U258" s="16">
        <v>14.1</v>
      </c>
      <c r="V258" s="16">
        <v>27.75</v>
      </c>
      <c r="W258" s="19" t="s">
        <v>1100</v>
      </c>
      <c r="X258" s="19" t="s">
        <v>265</v>
      </c>
      <c r="Y258" s="12">
        <v>43177</v>
      </c>
      <c r="Z258" s="12">
        <v>43171</v>
      </c>
      <c r="AA258" s="12">
        <v>43177</v>
      </c>
    </row>
    <row r="259" spans="1:27" x14ac:dyDescent="0.25">
      <c r="A259">
        <v>255</v>
      </c>
      <c r="B259" s="19" t="s">
        <v>657</v>
      </c>
      <c r="C259" s="19" t="s">
        <v>254</v>
      </c>
      <c r="D259" s="19" t="s">
        <v>261</v>
      </c>
      <c r="E259" s="19" t="s">
        <v>262</v>
      </c>
      <c r="F259" s="19" t="s">
        <v>1101</v>
      </c>
      <c r="G259" s="12">
        <v>43148</v>
      </c>
      <c r="H259" s="12">
        <v>43171</v>
      </c>
      <c r="I259">
        <v>7</v>
      </c>
      <c r="J259" s="12">
        <v>43154</v>
      </c>
      <c r="K259" t="b">
        <v>1</v>
      </c>
      <c r="L259" s="12">
        <v>43150</v>
      </c>
      <c r="M259" t="b">
        <v>1</v>
      </c>
      <c r="N259">
        <v>1</v>
      </c>
      <c r="O259">
        <v>1</v>
      </c>
      <c r="P259" s="19" t="s">
        <v>568</v>
      </c>
      <c r="Q259" s="19" t="s">
        <v>259</v>
      </c>
      <c r="R259" s="19" t="s">
        <v>121</v>
      </c>
      <c r="S259" s="19" t="s">
        <v>122</v>
      </c>
      <c r="T259" s="16">
        <v>389</v>
      </c>
      <c r="U259" s="16">
        <v>25.04</v>
      </c>
      <c r="V259" s="16">
        <v>414.04</v>
      </c>
      <c r="W259" s="19" t="s">
        <v>1098</v>
      </c>
      <c r="X259" s="19" t="s">
        <v>265</v>
      </c>
      <c r="Y259" s="12">
        <v>43177</v>
      </c>
      <c r="Z259" s="12">
        <v>43171</v>
      </c>
      <c r="AA259" s="12">
        <v>43177</v>
      </c>
    </row>
    <row r="260" spans="1:27" x14ac:dyDescent="0.25">
      <c r="A260">
        <v>256</v>
      </c>
      <c r="B260" s="19" t="s">
        <v>657</v>
      </c>
      <c r="C260" s="19" t="s">
        <v>254</v>
      </c>
      <c r="D260" s="19" t="s">
        <v>261</v>
      </c>
      <c r="E260" s="19" t="s">
        <v>262</v>
      </c>
      <c r="F260" s="19" t="s">
        <v>1102</v>
      </c>
      <c r="G260" s="12">
        <v>43150</v>
      </c>
      <c r="H260" s="12">
        <v>43171</v>
      </c>
      <c r="I260">
        <v>7</v>
      </c>
      <c r="J260" s="12">
        <v>43154</v>
      </c>
      <c r="K260" t="b">
        <v>1</v>
      </c>
      <c r="L260" s="12">
        <v>43152</v>
      </c>
      <c r="M260" t="b">
        <v>1</v>
      </c>
      <c r="N260">
        <v>1</v>
      </c>
      <c r="O260">
        <v>1</v>
      </c>
      <c r="P260" s="19" t="s">
        <v>537</v>
      </c>
      <c r="Q260" s="19" t="s">
        <v>259</v>
      </c>
      <c r="R260" s="19" t="s">
        <v>121</v>
      </c>
      <c r="S260" s="19" t="s">
        <v>122</v>
      </c>
      <c r="T260" s="16">
        <v>120</v>
      </c>
      <c r="U260" s="16">
        <v>25.68</v>
      </c>
      <c r="V260" s="16">
        <v>145.68</v>
      </c>
      <c r="W260" s="19" t="s">
        <v>1086</v>
      </c>
      <c r="X260" s="19" t="s">
        <v>265</v>
      </c>
      <c r="Y260" s="12">
        <v>43177</v>
      </c>
      <c r="Z260" s="12">
        <v>43171</v>
      </c>
      <c r="AA260" s="12">
        <v>43177</v>
      </c>
    </row>
    <row r="261" spans="1:27" x14ac:dyDescent="0.25">
      <c r="A261">
        <v>257</v>
      </c>
      <c r="B261" s="19" t="s">
        <v>657</v>
      </c>
      <c r="C261" s="19" t="s">
        <v>254</v>
      </c>
      <c r="D261" s="19" t="s">
        <v>261</v>
      </c>
      <c r="E261" s="19" t="s">
        <v>262</v>
      </c>
      <c r="F261" s="19" t="s">
        <v>1103</v>
      </c>
      <c r="G261" s="12">
        <v>43150</v>
      </c>
      <c r="H261" s="12">
        <v>43171</v>
      </c>
      <c r="I261">
        <v>7</v>
      </c>
      <c r="J261" s="12">
        <v>43154</v>
      </c>
      <c r="K261" t="b">
        <v>1</v>
      </c>
      <c r="L261" s="12">
        <v>43151</v>
      </c>
      <c r="M261" t="b">
        <v>1</v>
      </c>
      <c r="N261">
        <v>2</v>
      </c>
      <c r="O261">
        <v>1</v>
      </c>
      <c r="P261" s="19" t="s">
        <v>661</v>
      </c>
      <c r="Q261" s="19" t="s">
        <v>259</v>
      </c>
      <c r="R261" s="19" t="s">
        <v>121</v>
      </c>
      <c r="S261" s="19" t="s">
        <v>122</v>
      </c>
      <c r="T261" s="16">
        <v>106</v>
      </c>
      <c r="U261" s="16">
        <v>30.24</v>
      </c>
      <c r="V261" s="16">
        <v>136.24</v>
      </c>
      <c r="W261" s="19" t="s">
        <v>1104</v>
      </c>
      <c r="X261" s="19" t="s">
        <v>265</v>
      </c>
      <c r="Y261" s="12">
        <v>43177</v>
      </c>
      <c r="Z261" s="12">
        <v>43171</v>
      </c>
      <c r="AA261" s="12">
        <v>43177</v>
      </c>
    </row>
    <row r="262" spans="1:27" x14ac:dyDescent="0.25">
      <c r="A262">
        <v>258</v>
      </c>
      <c r="B262" s="19" t="s">
        <v>657</v>
      </c>
      <c r="C262" s="19" t="s">
        <v>254</v>
      </c>
      <c r="D262" s="19" t="s">
        <v>261</v>
      </c>
      <c r="E262" s="19" t="s">
        <v>262</v>
      </c>
      <c r="F262" s="19" t="s">
        <v>1105</v>
      </c>
      <c r="G262" s="12">
        <v>43148</v>
      </c>
      <c r="H262" s="12">
        <v>43171</v>
      </c>
      <c r="I262">
        <v>7</v>
      </c>
      <c r="J262" s="12">
        <v>43154</v>
      </c>
      <c r="K262" t="b">
        <v>1</v>
      </c>
      <c r="L262" s="12">
        <v>43155</v>
      </c>
      <c r="M262" t="b">
        <v>1</v>
      </c>
      <c r="N262">
        <v>1</v>
      </c>
      <c r="O262">
        <v>1</v>
      </c>
      <c r="P262" s="19" t="s">
        <v>662</v>
      </c>
      <c r="Q262" s="19" t="s">
        <v>259</v>
      </c>
      <c r="R262" s="19" t="s">
        <v>121</v>
      </c>
      <c r="S262" s="19" t="s">
        <v>122</v>
      </c>
      <c r="T262" s="16">
        <v>79</v>
      </c>
      <c r="U262" s="16">
        <v>15.3</v>
      </c>
      <c r="V262" s="16">
        <v>94.3</v>
      </c>
      <c r="W262" s="19" t="s">
        <v>1106</v>
      </c>
      <c r="X262" s="19" t="s">
        <v>265</v>
      </c>
      <c r="Y262" s="12">
        <v>43177</v>
      </c>
      <c r="Z262" s="12">
        <v>43171</v>
      </c>
      <c r="AA262" s="12">
        <v>43177</v>
      </c>
    </row>
    <row r="263" spans="1:27" x14ac:dyDescent="0.25">
      <c r="A263">
        <v>259</v>
      </c>
      <c r="B263" s="19" t="s">
        <v>657</v>
      </c>
      <c r="C263" s="19" t="s">
        <v>254</v>
      </c>
      <c r="D263" s="19" t="s">
        <v>261</v>
      </c>
      <c r="E263" s="19" t="s">
        <v>262</v>
      </c>
      <c r="F263" s="19" t="s">
        <v>1107</v>
      </c>
      <c r="G263" s="12">
        <v>43150</v>
      </c>
      <c r="H263" s="12">
        <v>43171</v>
      </c>
      <c r="I263">
        <v>7</v>
      </c>
      <c r="J263" s="12">
        <v>43154</v>
      </c>
      <c r="K263" t="b">
        <v>1</v>
      </c>
      <c r="L263" s="12">
        <v>43153</v>
      </c>
      <c r="M263" t="b">
        <v>1</v>
      </c>
      <c r="N263">
        <v>1</v>
      </c>
      <c r="O263">
        <v>1</v>
      </c>
      <c r="P263" s="19" t="s">
        <v>637</v>
      </c>
      <c r="Q263" s="19" t="s">
        <v>259</v>
      </c>
      <c r="R263" s="19" t="s">
        <v>121</v>
      </c>
      <c r="S263" s="19" t="s">
        <v>131</v>
      </c>
      <c r="T263" s="16">
        <v>39.9</v>
      </c>
      <c r="U263" s="16">
        <v>15.1</v>
      </c>
      <c r="V263" s="16">
        <v>55</v>
      </c>
      <c r="W263" s="19" t="s">
        <v>1100</v>
      </c>
      <c r="X263" s="19" t="s">
        <v>265</v>
      </c>
      <c r="Y263" s="12">
        <v>43177</v>
      </c>
      <c r="Z263" s="12">
        <v>43171</v>
      </c>
      <c r="AA263" s="12">
        <v>43177</v>
      </c>
    </row>
    <row r="264" spans="1:27" x14ac:dyDescent="0.25">
      <c r="A264">
        <v>260</v>
      </c>
      <c r="B264" s="19" t="s">
        <v>657</v>
      </c>
      <c r="C264" s="19" t="s">
        <v>254</v>
      </c>
      <c r="D264" s="19" t="s">
        <v>261</v>
      </c>
      <c r="E264" s="19" t="s">
        <v>262</v>
      </c>
      <c r="F264" s="19" t="s">
        <v>1108</v>
      </c>
      <c r="G264" s="12">
        <v>43150</v>
      </c>
      <c r="H264" s="12">
        <v>43171</v>
      </c>
      <c r="I264">
        <v>7</v>
      </c>
      <c r="J264" s="12">
        <v>43156</v>
      </c>
      <c r="K264" t="b">
        <v>1</v>
      </c>
      <c r="L264" s="12">
        <v>43157</v>
      </c>
      <c r="M264" t="b">
        <v>1</v>
      </c>
      <c r="N264">
        <v>1</v>
      </c>
      <c r="O264">
        <v>1</v>
      </c>
      <c r="P264" s="19" t="s">
        <v>663</v>
      </c>
      <c r="Q264" s="19" t="s">
        <v>259</v>
      </c>
      <c r="R264" s="19" t="s">
        <v>121</v>
      </c>
      <c r="S264" s="19" t="s">
        <v>146</v>
      </c>
      <c r="T264" s="16">
        <v>44.99</v>
      </c>
      <c r="U264" s="16">
        <v>14.1</v>
      </c>
      <c r="V264" s="16">
        <v>59.09</v>
      </c>
      <c r="W264" s="19" t="s">
        <v>1109</v>
      </c>
      <c r="X264" s="19" t="s">
        <v>265</v>
      </c>
      <c r="Y264" s="12">
        <v>43177</v>
      </c>
      <c r="Z264" s="12">
        <v>43171</v>
      </c>
      <c r="AA264" s="12">
        <v>43177</v>
      </c>
    </row>
    <row r="265" spans="1:27" x14ac:dyDescent="0.25">
      <c r="A265">
        <v>261</v>
      </c>
      <c r="B265" s="19" t="s">
        <v>657</v>
      </c>
      <c r="C265" s="19" t="s">
        <v>254</v>
      </c>
      <c r="D265" s="19" t="s">
        <v>261</v>
      </c>
      <c r="E265" s="19" t="s">
        <v>262</v>
      </c>
      <c r="F265" s="19" t="s">
        <v>1110</v>
      </c>
      <c r="G265" s="12">
        <v>43151</v>
      </c>
      <c r="H265" s="12">
        <v>43171</v>
      </c>
      <c r="I265">
        <v>7</v>
      </c>
      <c r="J265" s="12">
        <v>43157</v>
      </c>
      <c r="K265" t="b">
        <v>1</v>
      </c>
      <c r="L265" s="12">
        <v>43153</v>
      </c>
      <c r="M265" t="b">
        <v>1</v>
      </c>
      <c r="N265">
        <v>1</v>
      </c>
      <c r="O265">
        <v>1</v>
      </c>
      <c r="P265" s="19" t="s">
        <v>621</v>
      </c>
      <c r="Q265" s="19" t="s">
        <v>259</v>
      </c>
      <c r="R265" s="19" t="s">
        <v>121</v>
      </c>
      <c r="S265" s="19" t="s">
        <v>121</v>
      </c>
      <c r="T265" s="16">
        <v>165</v>
      </c>
      <c r="U265" s="16">
        <v>16.78</v>
      </c>
      <c r="V265" s="16">
        <v>181.78</v>
      </c>
      <c r="W265" s="19" t="s">
        <v>1100</v>
      </c>
      <c r="X265" s="19" t="s">
        <v>265</v>
      </c>
      <c r="Y265" s="12">
        <v>43177</v>
      </c>
      <c r="Z265" s="12">
        <v>43171</v>
      </c>
      <c r="AA265" s="12">
        <v>43177</v>
      </c>
    </row>
    <row r="266" spans="1:27" x14ac:dyDescent="0.25">
      <c r="A266">
        <v>262</v>
      </c>
      <c r="B266" s="19" t="s">
        <v>657</v>
      </c>
      <c r="C266" s="19" t="s">
        <v>254</v>
      </c>
      <c r="D266" s="19" t="s">
        <v>261</v>
      </c>
      <c r="E266" s="19" t="s">
        <v>262</v>
      </c>
      <c r="F266" s="19" t="s">
        <v>1111</v>
      </c>
      <c r="G266" s="12">
        <v>43150</v>
      </c>
      <c r="H266" s="12">
        <v>43171</v>
      </c>
      <c r="I266">
        <v>7</v>
      </c>
      <c r="J266" s="12">
        <v>43157</v>
      </c>
      <c r="K266" t="b">
        <v>1</v>
      </c>
      <c r="L266" s="12">
        <v>43153</v>
      </c>
      <c r="M266" t="b">
        <v>1</v>
      </c>
      <c r="N266">
        <v>1</v>
      </c>
      <c r="O266">
        <v>1</v>
      </c>
      <c r="P266" s="19" t="s">
        <v>600</v>
      </c>
      <c r="Q266" s="19" t="s">
        <v>259</v>
      </c>
      <c r="R266" s="19" t="s">
        <v>121</v>
      </c>
      <c r="S266" s="19" t="s">
        <v>135</v>
      </c>
      <c r="T266" s="16">
        <v>99.9</v>
      </c>
      <c r="U266" s="16">
        <v>20.190000000000001</v>
      </c>
      <c r="V266" s="16">
        <v>120.09</v>
      </c>
      <c r="W266" s="19" t="s">
        <v>1100</v>
      </c>
      <c r="X266" s="19" t="s">
        <v>265</v>
      </c>
      <c r="Y266" s="12">
        <v>43177</v>
      </c>
      <c r="Z266" s="12">
        <v>43171</v>
      </c>
      <c r="AA266" s="12">
        <v>43177</v>
      </c>
    </row>
    <row r="267" spans="1:27" x14ac:dyDescent="0.25">
      <c r="A267">
        <v>263</v>
      </c>
      <c r="B267" s="19" t="s">
        <v>657</v>
      </c>
      <c r="C267" s="19" t="s">
        <v>254</v>
      </c>
      <c r="D267" s="19" t="s">
        <v>261</v>
      </c>
      <c r="E267" s="19" t="s">
        <v>262</v>
      </c>
      <c r="F267" s="19" t="s">
        <v>1112</v>
      </c>
      <c r="G267" s="12">
        <v>43151</v>
      </c>
      <c r="H267" s="12">
        <v>43171</v>
      </c>
      <c r="I267">
        <v>7</v>
      </c>
      <c r="J267" s="12">
        <v>43157</v>
      </c>
      <c r="K267" t="b">
        <v>1</v>
      </c>
      <c r="L267" s="12">
        <v>43158</v>
      </c>
      <c r="M267" t="b">
        <v>1</v>
      </c>
      <c r="N267">
        <v>1</v>
      </c>
      <c r="O267">
        <v>1</v>
      </c>
      <c r="P267" s="19" t="s">
        <v>627</v>
      </c>
      <c r="Q267" s="19" t="s">
        <v>259</v>
      </c>
      <c r="R267" s="19" t="s">
        <v>121</v>
      </c>
      <c r="S267" s="19" t="s">
        <v>121</v>
      </c>
      <c r="T267" s="16">
        <v>89.58</v>
      </c>
      <c r="U267" s="16">
        <v>17.34</v>
      </c>
      <c r="V267" s="16">
        <v>106.92</v>
      </c>
      <c r="W267" s="19" t="s">
        <v>1113</v>
      </c>
      <c r="X267" s="19" t="s">
        <v>265</v>
      </c>
      <c r="Y267" s="12">
        <v>43177</v>
      </c>
      <c r="Z267" s="12">
        <v>43171</v>
      </c>
      <c r="AA267" s="12">
        <v>43177</v>
      </c>
    </row>
    <row r="268" spans="1:27" x14ac:dyDescent="0.25">
      <c r="A268">
        <v>264</v>
      </c>
      <c r="B268" s="19" t="s">
        <v>657</v>
      </c>
      <c r="C268" s="19" t="s">
        <v>254</v>
      </c>
      <c r="D268" s="19" t="s">
        <v>261</v>
      </c>
      <c r="E268" s="19" t="s">
        <v>262</v>
      </c>
      <c r="F268" s="19" t="s">
        <v>1114</v>
      </c>
      <c r="G268" s="12">
        <v>43151</v>
      </c>
      <c r="H268" s="12">
        <v>43171</v>
      </c>
      <c r="I268">
        <v>7</v>
      </c>
      <c r="J268" s="12">
        <v>43157</v>
      </c>
      <c r="K268" t="b">
        <v>1</v>
      </c>
      <c r="L268" s="12">
        <v>43152</v>
      </c>
      <c r="M268" t="b">
        <v>1</v>
      </c>
      <c r="N268">
        <v>1</v>
      </c>
      <c r="O268">
        <v>1</v>
      </c>
      <c r="P268" s="19" t="s">
        <v>1115</v>
      </c>
      <c r="Q268" s="19" t="s">
        <v>259</v>
      </c>
      <c r="R268" s="19" t="s">
        <v>121</v>
      </c>
      <c r="S268" s="19" t="s">
        <v>131</v>
      </c>
      <c r="T268" s="16">
        <v>74.900000000000006</v>
      </c>
      <c r="U268" s="16">
        <v>15.28</v>
      </c>
      <c r="V268" s="16">
        <v>90.18</v>
      </c>
      <c r="W268" s="19" t="s">
        <v>1086</v>
      </c>
      <c r="X268" s="19" t="s">
        <v>265</v>
      </c>
      <c r="Y268" s="12">
        <v>43177</v>
      </c>
      <c r="Z268" s="12">
        <v>43171</v>
      </c>
      <c r="AA268" s="12">
        <v>43177</v>
      </c>
    </row>
    <row r="269" spans="1:27" x14ac:dyDescent="0.25">
      <c r="A269">
        <v>265</v>
      </c>
      <c r="B269" s="19" t="s">
        <v>657</v>
      </c>
      <c r="C269" s="19" t="s">
        <v>254</v>
      </c>
      <c r="D269" s="19" t="s">
        <v>261</v>
      </c>
      <c r="E269" s="19" t="s">
        <v>262</v>
      </c>
      <c r="F269" s="19" t="s">
        <v>1116</v>
      </c>
      <c r="G269" s="12">
        <v>43150</v>
      </c>
      <c r="H269" s="12">
        <v>43171</v>
      </c>
      <c r="I269">
        <v>7</v>
      </c>
      <c r="J269" s="12">
        <v>43157</v>
      </c>
      <c r="K269" t="b">
        <v>1</v>
      </c>
      <c r="L269" s="12">
        <v>43151</v>
      </c>
      <c r="M269" t="b">
        <v>1</v>
      </c>
      <c r="N269">
        <v>1</v>
      </c>
      <c r="O269">
        <v>1</v>
      </c>
      <c r="P269" s="19" t="s">
        <v>1117</v>
      </c>
      <c r="Q269" s="19" t="s">
        <v>259</v>
      </c>
      <c r="R269" s="19" t="s">
        <v>121</v>
      </c>
      <c r="S269" s="19" t="s">
        <v>122</v>
      </c>
      <c r="T269" s="16">
        <v>39.99</v>
      </c>
      <c r="U269" s="16">
        <v>21.19</v>
      </c>
      <c r="V269" s="16">
        <v>61.18</v>
      </c>
      <c r="W269" s="19" t="s">
        <v>1104</v>
      </c>
      <c r="X269" s="19" t="s">
        <v>265</v>
      </c>
      <c r="Y269" s="12">
        <v>43177</v>
      </c>
      <c r="Z269" s="12">
        <v>43171</v>
      </c>
      <c r="AA269" s="12">
        <v>43177</v>
      </c>
    </row>
    <row r="270" spans="1:27" x14ac:dyDescent="0.25">
      <c r="A270">
        <v>266</v>
      </c>
      <c r="B270" s="19" t="s">
        <v>657</v>
      </c>
      <c r="C270" s="19" t="s">
        <v>254</v>
      </c>
      <c r="D270" s="19" t="s">
        <v>261</v>
      </c>
      <c r="E270" s="19" t="s">
        <v>262</v>
      </c>
      <c r="F270" s="19" t="s">
        <v>1118</v>
      </c>
      <c r="G270" s="12">
        <v>43151</v>
      </c>
      <c r="H270" s="12">
        <v>43171</v>
      </c>
      <c r="I270">
        <v>7</v>
      </c>
      <c r="J270" s="12">
        <v>43157</v>
      </c>
      <c r="K270" t="b">
        <v>1</v>
      </c>
      <c r="L270" s="12">
        <v>43152</v>
      </c>
      <c r="M270" t="b">
        <v>1</v>
      </c>
      <c r="N270">
        <v>1</v>
      </c>
      <c r="O270">
        <v>1</v>
      </c>
      <c r="P270" s="19" t="s">
        <v>664</v>
      </c>
      <c r="Q270" s="19" t="s">
        <v>259</v>
      </c>
      <c r="R270" s="19" t="s">
        <v>121</v>
      </c>
      <c r="S270" s="19" t="s">
        <v>121</v>
      </c>
      <c r="T270" s="16">
        <v>35</v>
      </c>
      <c r="U270" s="16">
        <v>11.85</v>
      </c>
      <c r="V270" s="16">
        <v>46.85</v>
      </c>
      <c r="W270" s="19" t="s">
        <v>1086</v>
      </c>
      <c r="X270" s="19" t="s">
        <v>265</v>
      </c>
      <c r="Y270" s="12">
        <v>43177</v>
      </c>
      <c r="Z270" s="12">
        <v>43171</v>
      </c>
      <c r="AA270" s="12">
        <v>43177</v>
      </c>
    </row>
    <row r="271" spans="1:27" x14ac:dyDescent="0.25">
      <c r="A271">
        <v>267</v>
      </c>
      <c r="B271" s="19" t="s">
        <v>657</v>
      </c>
      <c r="C271" s="19" t="s">
        <v>254</v>
      </c>
      <c r="D271" s="19" t="s">
        <v>261</v>
      </c>
      <c r="E271" s="19" t="s">
        <v>262</v>
      </c>
      <c r="F271" s="19" t="s">
        <v>1119</v>
      </c>
      <c r="G271" s="12">
        <v>43142</v>
      </c>
      <c r="H271" s="12">
        <v>43171</v>
      </c>
      <c r="I271">
        <v>7</v>
      </c>
      <c r="J271" s="12">
        <v>43158</v>
      </c>
      <c r="K271" t="b">
        <v>1</v>
      </c>
      <c r="L271" s="12">
        <v>43157</v>
      </c>
      <c r="M271" t="b">
        <v>1</v>
      </c>
      <c r="N271">
        <v>1</v>
      </c>
      <c r="O271">
        <v>1</v>
      </c>
      <c r="P271" s="19" t="s">
        <v>1120</v>
      </c>
      <c r="Q271" s="19" t="s">
        <v>259</v>
      </c>
      <c r="R271" s="19" t="s">
        <v>121</v>
      </c>
      <c r="S271" s="19" t="s">
        <v>122</v>
      </c>
      <c r="T271" s="16">
        <v>89.9</v>
      </c>
      <c r="U271" s="16">
        <v>15.38</v>
      </c>
      <c r="V271" s="16">
        <v>105.28</v>
      </c>
      <c r="W271" s="19" t="s">
        <v>1109</v>
      </c>
      <c r="X271" s="19" t="s">
        <v>265</v>
      </c>
      <c r="Y271" s="12">
        <v>43177</v>
      </c>
      <c r="Z271" s="12">
        <v>43171</v>
      </c>
      <c r="AA271" s="12">
        <v>43177</v>
      </c>
    </row>
    <row r="272" spans="1:27" x14ac:dyDescent="0.25">
      <c r="A272">
        <v>268</v>
      </c>
      <c r="B272" s="19" t="s">
        <v>657</v>
      </c>
      <c r="C272" s="19" t="s">
        <v>254</v>
      </c>
      <c r="D272" s="19" t="s">
        <v>261</v>
      </c>
      <c r="E272" s="19" t="s">
        <v>262</v>
      </c>
      <c r="F272" s="19" t="s">
        <v>1121</v>
      </c>
      <c r="G272" s="12">
        <v>43151</v>
      </c>
      <c r="H272" s="12">
        <v>43171</v>
      </c>
      <c r="I272">
        <v>7</v>
      </c>
      <c r="J272" s="12">
        <v>43159</v>
      </c>
      <c r="K272" t="b">
        <v>1</v>
      </c>
      <c r="L272" s="12">
        <v>43157</v>
      </c>
      <c r="M272" t="b">
        <v>1</v>
      </c>
      <c r="N272">
        <v>1</v>
      </c>
      <c r="O272">
        <v>1</v>
      </c>
      <c r="P272" s="19" t="s">
        <v>1122</v>
      </c>
      <c r="Q272" s="19" t="s">
        <v>259</v>
      </c>
      <c r="R272" s="19" t="s">
        <v>121</v>
      </c>
      <c r="S272" s="19" t="s">
        <v>122</v>
      </c>
      <c r="T272" s="16">
        <v>109.9</v>
      </c>
      <c r="U272" s="16">
        <v>15.53</v>
      </c>
      <c r="V272" s="16">
        <v>125.43</v>
      </c>
      <c r="W272" s="19" t="s">
        <v>1109</v>
      </c>
      <c r="X272" s="19" t="s">
        <v>265</v>
      </c>
      <c r="Y272" s="12">
        <v>43177</v>
      </c>
      <c r="Z272" s="12">
        <v>43171</v>
      </c>
      <c r="AA272" s="12">
        <v>43177</v>
      </c>
    </row>
    <row r="273" spans="1:27" x14ac:dyDescent="0.25">
      <c r="A273">
        <v>269</v>
      </c>
      <c r="B273" s="19" t="s">
        <v>657</v>
      </c>
      <c r="C273" s="19" t="s">
        <v>254</v>
      </c>
      <c r="D273" s="19" t="s">
        <v>255</v>
      </c>
      <c r="E273" s="19" t="s">
        <v>256</v>
      </c>
      <c r="F273" s="19" t="s">
        <v>665</v>
      </c>
      <c r="G273" s="12">
        <v>43157</v>
      </c>
      <c r="H273" s="12">
        <v>43171</v>
      </c>
      <c r="I273">
        <v>7</v>
      </c>
      <c r="J273" s="12">
        <v>43161</v>
      </c>
      <c r="K273" t="b">
        <v>1</v>
      </c>
      <c r="L273" s="12"/>
      <c r="M273" t="b">
        <v>1</v>
      </c>
      <c r="N273">
        <v>1</v>
      </c>
      <c r="O273">
        <v>1</v>
      </c>
      <c r="P273" s="19" t="s">
        <v>371</v>
      </c>
      <c r="Q273" s="19" t="s">
        <v>259</v>
      </c>
      <c r="R273" s="19" t="s">
        <v>121</v>
      </c>
      <c r="S273" s="19" t="s">
        <v>121</v>
      </c>
      <c r="T273" s="16">
        <v>55</v>
      </c>
      <c r="U273" s="16">
        <v>7.78</v>
      </c>
      <c r="V273" s="16">
        <v>62.78</v>
      </c>
      <c r="W273" s="19" t="s">
        <v>1123</v>
      </c>
      <c r="X273" s="19" t="s">
        <v>260</v>
      </c>
      <c r="Y273" s="12">
        <v>43177</v>
      </c>
      <c r="Z273" s="12">
        <v>43171</v>
      </c>
      <c r="AA273" s="12">
        <v>43177</v>
      </c>
    </row>
    <row r="274" spans="1:27" x14ac:dyDescent="0.25">
      <c r="A274">
        <v>270</v>
      </c>
      <c r="B274" s="19" t="s">
        <v>657</v>
      </c>
      <c r="C274" s="19" t="s">
        <v>254</v>
      </c>
      <c r="D274" s="19" t="s">
        <v>255</v>
      </c>
      <c r="E274" s="19" t="s">
        <v>256</v>
      </c>
      <c r="F274" s="19" t="s">
        <v>666</v>
      </c>
      <c r="G274" s="12">
        <v>43153</v>
      </c>
      <c r="H274" s="12">
        <v>43171</v>
      </c>
      <c r="I274">
        <v>7</v>
      </c>
      <c r="J274" s="12">
        <v>43161</v>
      </c>
      <c r="K274" t="b">
        <v>1</v>
      </c>
      <c r="L274" s="12"/>
      <c r="M274" t="b">
        <v>1</v>
      </c>
      <c r="N274">
        <v>1</v>
      </c>
      <c r="O274">
        <v>1</v>
      </c>
      <c r="P274" s="19" t="s">
        <v>652</v>
      </c>
      <c r="Q274" s="19" t="s">
        <v>259</v>
      </c>
      <c r="R274" s="19" t="s">
        <v>121</v>
      </c>
      <c r="S274" s="19" t="s">
        <v>121</v>
      </c>
      <c r="T274" s="16">
        <v>25.9</v>
      </c>
      <c r="U274" s="16">
        <v>9.34</v>
      </c>
      <c r="V274" s="16">
        <v>35.24</v>
      </c>
      <c r="W274" s="19" t="s">
        <v>1124</v>
      </c>
      <c r="X274" s="19" t="s">
        <v>260</v>
      </c>
      <c r="Y274" s="12">
        <v>43177</v>
      </c>
      <c r="Z274" s="12">
        <v>43171</v>
      </c>
      <c r="AA274" s="12">
        <v>43177</v>
      </c>
    </row>
    <row r="275" spans="1:27" x14ac:dyDescent="0.25">
      <c r="A275">
        <v>271</v>
      </c>
      <c r="B275" s="19" t="s">
        <v>657</v>
      </c>
      <c r="C275" s="19" t="s">
        <v>254</v>
      </c>
      <c r="D275" s="19" t="s">
        <v>255</v>
      </c>
      <c r="E275" s="19" t="s">
        <v>256</v>
      </c>
      <c r="F275" s="19" t="s">
        <v>667</v>
      </c>
      <c r="G275" s="12">
        <v>43152</v>
      </c>
      <c r="H275" s="12">
        <v>43171</v>
      </c>
      <c r="I275">
        <v>7</v>
      </c>
      <c r="J275" s="12">
        <v>43161</v>
      </c>
      <c r="K275" t="b">
        <v>1</v>
      </c>
      <c r="L275" s="12"/>
      <c r="M275" t="b">
        <v>1</v>
      </c>
      <c r="N275">
        <v>1</v>
      </c>
      <c r="O275">
        <v>1</v>
      </c>
      <c r="P275" s="19" t="s">
        <v>668</v>
      </c>
      <c r="Q275" s="19" t="s">
        <v>259</v>
      </c>
      <c r="R275" s="19" t="s">
        <v>121</v>
      </c>
      <c r="S275" s="19" t="s">
        <v>121</v>
      </c>
      <c r="T275" s="16">
        <v>24.99</v>
      </c>
      <c r="U275" s="16">
        <v>8.7200000000000006</v>
      </c>
      <c r="V275" s="16">
        <v>33.71</v>
      </c>
      <c r="W275" s="19" t="s">
        <v>1125</v>
      </c>
      <c r="X275" s="19" t="s">
        <v>260</v>
      </c>
      <c r="Y275" s="12">
        <v>43177</v>
      </c>
      <c r="Z275" s="12">
        <v>43171</v>
      </c>
      <c r="AA275" s="12">
        <v>43177</v>
      </c>
    </row>
    <row r="276" spans="1:27" x14ac:dyDescent="0.25">
      <c r="A276">
        <v>272</v>
      </c>
      <c r="B276" s="19" t="s">
        <v>657</v>
      </c>
      <c r="C276" s="19" t="s">
        <v>254</v>
      </c>
      <c r="D276" s="19" t="s">
        <v>261</v>
      </c>
      <c r="E276" s="19" t="s">
        <v>262</v>
      </c>
      <c r="F276" s="19" t="s">
        <v>669</v>
      </c>
      <c r="G276" s="12">
        <v>43157</v>
      </c>
      <c r="H276" s="12">
        <v>43171</v>
      </c>
      <c r="I276">
        <v>7</v>
      </c>
      <c r="J276" s="12">
        <v>43164</v>
      </c>
      <c r="K276" t="b">
        <v>1</v>
      </c>
      <c r="L276" s="12">
        <v>43176</v>
      </c>
      <c r="M276" t="b">
        <v>1</v>
      </c>
      <c r="N276">
        <v>1</v>
      </c>
      <c r="O276">
        <v>1</v>
      </c>
      <c r="P276" s="19" t="s">
        <v>670</v>
      </c>
      <c r="Q276" s="19" t="s">
        <v>259</v>
      </c>
      <c r="R276" s="19" t="s">
        <v>121</v>
      </c>
      <c r="S276" s="19" t="s">
        <v>121</v>
      </c>
      <c r="T276" s="16">
        <v>89.9</v>
      </c>
      <c r="U276" s="16">
        <v>11.83</v>
      </c>
      <c r="V276" s="16">
        <v>101.73</v>
      </c>
      <c r="W276" s="19" t="s">
        <v>1126</v>
      </c>
      <c r="X276" s="19" t="s">
        <v>265</v>
      </c>
      <c r="Y276" s="12">
        <v>43177</v>
      </c>
      <c r="Z276" s="12">
        <v>43171</v>
      </c>
      <c r="AA276" s="12">
        <v>43177</v>
      </c>
    </row>
    <row r="277" spans="1:27" x14ac:dyDescent="0.25">
      <c r="A277">
        <v>273</v>
      </c>
      <c r="B277" s="19" t="s">
        <v>657</v>
      </c>
      <c r="C277" s="19" t="s">
        <v>254</v>
      </c>
      <c r="D277" s="19" t="s">
        <v>255</v>
      </c>
      <c r="E277" s="19" t="s">
        <v>256</v>
      </c>
      <c r="F277" s="19" t="s">
        <v>671</v>
      </c>
      <c r="G277" s="12">
        <v>43157</v>
      </c>
      <c r="H277" s="12">
        <v>43171</v>
      </c>
      <c r="I277">
        <v>7</v>
      </c>
      <c r="J277" s="12">
        <v>43164</v>
      </c>
      <c r="K277" t="b">
        <v>1</v>
      </c>
      <c r="L277" s="12"/>
      <c r="M277" t="b">
        <v>1</v>
      </c>
      <c r="N277">
        <v>1</v>
      </c>
      <c r="O277">
        <v>1</v>
      </c>
      <c r="P277" s="19" t="s">
        <v>672</v>
      </c>
      <c r="Q277" s="19" t="s">
        <v>259</v>
      </c>
      <c r="R277" s="19" t="s">
        <v>121</v>
      </c>
      <c r="S277" s="19" t="s">
        <v>121</v>
      </c>
      <c r="T277" s="16">
        <v>15.9</v>
      </c>
      <c r="U277" s="16">
        <v>8.7200000000000006</v>
      </c>
      <c r="V277" s="16">
        <v>24.62</v>
      </c>
      <c r="W277" s="19" t="s">
        <v>1127</v>
      </c>
      <c r="X277" s="19" t="s">
        <v>260</v>
      </c>
      <c r="Y277" s="12">
        <v>43177</v>
      </c>
      <c r="Z277" s="12">
        <v>43171</v>
      </c>
      <c r="AA277" s="12">
        <v>43177</v>
      </c>
    </row>
    <row r="278" spans="1:27" x14ac:dyDescent="0.25">
      <c r="A278">
        <v>274</v>
      </c>
      <c r="B278" s="19" t="s">
        <v>657</v>
      </c>
      <c r="C278" s="19" t="s">
        <v>254</v>
      </c>
      <c r="D278" s="19" t="s">
        <v>261</v>
      </c>
      <c r="E278" s="19" t="s">
        <v>262</v>
      </c>
      <c r="F278" s="19" t="s">
        <v>1128</v>
      </c>
      <c r="G278" s="12">
        <v>43157</v>
      </c>
      <c r="H278" s="12">
        <v>43171</v>
      </c>
      <c r="I278">
        <v>7</v>
      </c>
      <c r="J278" s="12">
        <v>43165</v>
      </c>
      <c r="K278" t="b">
        <v>1</v>
      </c>
      <c r="L278" s="12">
        <v>43160</v>
      </c>
      <c r="M278" t="b">
        <v>1</v>
      </c>
      <c r="N278">
        <v>1</v>
      </c>
      <c r="O278">
        <v>1</v>
      </c>
      <c r="P278" s="19" t="s">
        <v>1129</v>
      </c>
      <c r="Q278" s="19" t="s">
        <v>259</v>
      </c>
      <c r="R278" s="19" t="s">
        <v>121</v>
      </c>
      <c r="S278" s="19" t="s">
        <v>121</v>
      </c>
      <c r="T278" s="16">
        <v>94.9</v>
      </c>
      <c r="U278" s="16">
        <v>13.22</v>
      </c>
      <c r="V278" s="16">
        <v>108.12</v>
      </c>
      <c r="W278" s="19" t="s">
        <v>1073</v>
      </c>
      <c r="X278" s="19" t="s">
        <v>265</v>
      </c>
      <c r="Y278" s="12">
        <v>43177</v>
      </c>
      <c r="Z278" s="12">
        <v>43171</v>
      </c>
      <c r="AA278" s="12">
        <v>43177</v>
      </c>
    </row>
    <row r="279" spans="1:27" x14ac:dyDescent="0.25">
      <c r="A279">
        <v>275</v>
      </c>
      <c r="B279" s="19" t="s">
        <v>657</v>
      </c>
      <c r="C279" s="19" t="s">
        <v>254</v>
      </c>
      <c r="D279" s="19" t="s">
        <v>255</v>
      </c>
      <c r="E279" s="19" t="s">
        <v>256</v>
      </c>
      <c r="F279" s="19" t="s">
        <v>1130</v>
      </c>
      <c r="G279" s="12">
        <v>43147</v>
      </c>
      <c r="H279" s="12">
        <v>43171</v>
      </c>
      <c r="I279">
        <v>7</v>
      </c>
      <c r="J279" s="12"/>
      <c r="K279" t="b">
        <v>1</v>
      </c>
      <c r="L279" s="12"/>
      <c r="M279" t="b">
        <v>1</v>
      </c>
      <c r="N279">
        <v>0</v>
      </c>
      <c r="O279">
        <v>0</v>
      </c>
      <c r="P279" s="19" t="s">
        <v>172</v>
      </c>
      <c r="Q279" s="19" t="s">
        <v>285</v>
      </c>
      <c r="R279" s="19" t="s">
        <v>172</v>
      </c>
      <c r="S279" s="19" t="s">
        <v>131</v>
      </c>
      <c r="T279" s="16">
        <v>0</v>
      </c>
      <c r="U279" s="16">
        <v>0</v>
      </c>
      <c r="V279" s="16">
        <v>43.18</v>
      </c>
      <c r="W279" s="19" t="s">
        <v>172</v>
      </c>
      <c r="X279" s="19" t="s">
        <v>260</v>
      </c>
      <c r="Y279" s="12">
        <v>43177</v>
      </c>
      <c r="Z279" s="12">
        <v>43171</v>
      </c>
      <c r="AA279" s="12">
        <v>43177</v>
      </c>
    </row>
    <row r="280" spans="1:27" x14ac:dyDescent="0.25">
      <c r="A280">
        <v>276</v>
      </c>
      <c r="B280" s="19" t="s">
        <v>657</v>
      </c>
      <c r="C280" s="19" t="s">
        <v>254</v>
      </c>
      <c r="D280" s="19" t="s">
        <v>556</v>
      </c>
      <c r="E280" s="19" t="s">
        <v>557</v>
      </c>
      <c r="F280" s="19" t="s">
        <v>1131</v>
      </c>
      <c r="G280" s="12">
        <v>43148</v>
      </c>
      <c r="H280" s="12">
        <v>43171</v>
      </c>
      <c r="I280">
        <v>7</v>
      </c>
      <c r="J280" s="12"/>
      <c r="K280" t="b">
        <v>0</v>
      </c>
      <c r="L280" s="12"/>
      <c r="M280" t="b">
        <v>1</v>
      </c>
      <c r="N280">
        <v>0</v>
      </c>
      <c r="O280">
        <v>0</v>
      </c>
      <c r="P280" s="19" t="s">
        <v>172</v>
      </c>
      <c r="Q280" s="19" t="s">
        <v>285</v>
      </c>
      <c r="R280" s="19" t="s">
        <v>172</v>
      </c>
      <c r="S280" s="19" t="s">
        <v>121</v>
      </c>
      <c r="T280" s="16">
        <v>0</v>
      </c>
      <c r="U280" s="16">
        <v>0</v>
      </c>
      <c r="V280" s="16">
        <v>112.92</v>
      </c>
      <c r="W280" s="19" t="s">
        <v>1132</v>
      </c>
      <c r="X280" s="19" t="s">
        <v>559</v>
      </c>
      <c r="Y280" s="12">
        <v>43177</v>
      </c>
      <c r="Z280" s="12">
        <v>43171</v>
      </c>
      <c r="AA280" s="12">
        <v>43177</v>
      </c>
    </row>
    <row r="281" spans="1:27" x14ac:dyDescent="0.25">
      <c r="A281">
        <v>277</v>
      </c>
      <c r="B281" s="19" t="s">
        <v>657</v>
      </c>
      <c r="C281" s="19" t="s">
        <v>254</v>
      </c>
      <c r="D281" s="19" t="s">
        <v>255</v>
      </c>
      <c r="E281" s="19" t="s">
        <v>256</v>
      </c>
      <c r="F281" s="19" t="s">
        <v>1133</v>
      </c>
      <c r="G281" s="12">
        <v>43119</v>
      </c>
      <c r="H281" s="12">
        <v>43172</v>
      </c>
      <c r="I281">
        <v>6</v>
      </c>
      <c r="J281" s="12">
        <v>43139</v>
      </c>
      <c r="K281" t="b">
        <v>1</v>
      </c>
      <c r="L281" s="12"/>
      <c r="M281" t="b">
        <v>1</v>
      </c>
      <c r="N281">
        <v>1</v>
      </c>
      <c r="O281">
        <v>1</v>
      </c>
      <c r="P281" s="19" t="s">
        <v>452</v>
      </c>
      <c r="Q281" s="19" t="s">
        <v>259</v>
      </c>
      <c r="R281" s="19" t="s">
        <v>121</v>
      </c>
      <c r="S281" s="19" t="s">
        <v>138</v>
      </c>
      <c r="T281" s="16">
        <v>1599</v>
      </c>
      <c r="U281" s="16">
        <v>112.63</v>
      </c>
      <c r="V281" s="16">
        <v>1711.63</v>
      </c>
      <c r="W281" s="19" t="s">
        <v>1134</v>
      </c>
      <c r="X281" s="19" t="s">
        <v>260</v>
      </c>
      <c r="Y281" s="12">
        <v>43177</v>
      </c>
      <c r="Z281" s="12">
        <v>43171</v>
      </c>
      <c r="AA281" s="12">
        <v>43177</v>
      </c>
    </row>
    <row r="282" spans="1:27" x14ac:dyDescent="0.25">
      <c r="A282">
        <v>278</v>
      </c>
      <c r="B282" s="19" t="s">
        <v>657</v>
      </c>
      <c r="C282" s="19" t="s">
        <v>254</v>
      </c>
      <c r="D282" s="19" t="s">
        <v>261</v>
      </c>
      <c r="E282" s="19" t="s">
        <v>262</v>
      </c>
      <c r="F282" s="19" t="s">
        <v>1135</v>
      </c>
      <c r="G282" s="12">
        <v>43135</v>
      </c>
      <c r="H282" s="12">
        <v>43172</v>
      </c>
      <c r="I282">
        <v>6</v>
      </c>
      <c r="J282" s="12">
        <v>43140</v>
      </c>
      <c r="K282" t="b">
        <v>1</v>
      </c>
      <c r="L282" s="12">
        <v>43137</v>
      </c>
      <c r="M282" t="b">
        <v>1</v>
      </c>
      <c r="N282">
        <v>1</v>
      </c>
      <c r="O282">
        <v>1</v>
      </c>
      <c r="P282" s="19" t="s">
        <v>673</v>
      </c>
      <c r="Q282" s="19" t="s">
        <v>259</v>
      </c>
      <c r="R282" s="19" t="s">
        <v>121</v>
      </c>
      <c r="S282" s="19" t="s">
        <v>148</v>
      </c>
      <c r="T282" s="16">
        <v>189.9</v>
      </c>
      <c r="U282" s="16">
        <v>46.92</v>
      </c>
      <c r="V282" s="16">
        <v>236.82</v>
      </c>
      <c r="W282" s="19" t="s">
        <v>1136</v>
      </c>
      <c r="X282" s="19" t="s">
        <v>265</v>
      </c>
      <c r="Y282" s="12">
        <v>43177</v>
      </c>
      <c r="Z282" s="12">
        <v>43171</v>
      </c>
      <c r="AA282" s="12">
        <v>43177</v>
      </c>
    </row>
    <row r="283" spans="1:27" x14ac:dyDescent="0.25">
      <c r="A283">
        <v>279</v>
      </c>
      <c r="B283" s="19" t="s">
        <v>657</v>
      </c>
      <c r="C283" s="19" t="s">
        <v>254</v>
      </c>
      <c r="D283" s="19" t="s">
        <v>261</v>
      </c>
      <c r="E283" s="19" t="s">
        <v>262</v>
      </c>
      <c r="F283" s="19" t="s">
        <v>1137</v>
      </c>
      <c r="G283" s="12">
        <v>43136</v>
      </c>
      <c r="H283" s="12">
        <v>43172</v>
      </c>
      <c r="I283">
        <v>6</v>
      </c>
      <c r="J283" s="12">
        <v>43144</v>
      </c>
      <c r="K283" t="b">
        <v>1</v>
      </c>
      <c r="L283" s="12">
        <v>43138</v>
      </c>
      <c r="M283" t="b">
        <v>1</v>
      </c>
      <c r="N283">
        <v>1</v>
      </c>
      <c r="O283">
        <v>1</v>
      </c>
      <c r="P283" s="19" t="s">
        <v>1138</v>
      </c>
      <c r="Q283" s="19" t="s">
        <v>259</v>
      </c>
      <c r="R283" s="19" t="s">
        <v>121</v>
      </c>
      <c r="S283" s="19" t="s">
        <v>152</v>
      </c>
      <c r="T283" s="16">
        <v>174.9</v>
      </c>
      <c r="U283" s="16">
        <v>40.21</v>
      </c>
      <c r="V283" s="16">
        <v>215.11</v>
      </c>
      <c r="W283" s="19" t="s">
        <v>1139</v>
      </c>
      <c r="X283" s="19" t="s">
        <v>265</v>
      </c>
      <c r="Y283" s="12">
        <v>43177</v>
      </c>
      <c r="Z283" s="12">
        <v>43171</v>
      </c>
      <c r="AA283" s="12">
        <v>43177</v>
      </c>
    </row>
    <row r="284" spans="1:27" x14ac:dyDescent="0.25">
      <c r="A284">
        <v>280</v>
      </c>
      <c r="B284" s="19" t="s">
        <v>657</v>
      </c>
      <c r="C284" s="19" t="s">
        <v>254</v>
      </c>
      <c r="D284" s="19" t="s">
        <v>261</v>
      </c>
      <c r="E284" s="19" t="s">
        <v>262</v>
      </c>
      <c r="F284" s="19" t="s">
        <v>1140</v>
      </c>
      <c r="G284" s="12">
        <v>43138</v>
      </c>
      <c r="H284" s="12">
        <v>43172</v>
      </c>
      <c r="I284">
        <v>6</v>
      </c>
      <c r="J284" s="12">
        <v>43144</v>
      </c>
      <c r="K284" t="b">
        <v>1</v>
      </c>
      <c r="L284" s="12">
        <v>43140</v>
      </c>
      <c r="M284" t="b">
        <v>1</v>
      </c>
      <c r="N284">
        <v>1</v>
      </c>
      <c r="O284">
        <v>1</v>
      </c>
      <c r="P284" s="19" t="s">
        <v>627</v>
      </c>
      <c r="Q284" s="19" t="s">
        <v>259</v>
      </c>
      <c r="R284" s="19" t="s">
        <v>121</v>
      </c>
      <c r="S284" s="19" t="s">
        <v>135</v>
      </c>
      <c r="T284" s="16">
        <v>117.3</v>
      </c>
      <c r="U284" s="16">
        <v>25.66</v>
      </c>
      <c r="V284" s="16">
        <v>142.96</v>
      </c>
      <c r="W284" s="19" t="s">
        <v>1141</v>
      </c>
      <c r="X284" s="19" t="s">
        <v>265</v>
      </c>
      <c r="Y284" s="12">
        <v>43177</v>
      </c>
      <c r="Z284" s="12">
        <v>43171</v>
      </c>
      <c r="AA284" s="12">
        <v>43177</v>
      </c>
    </row>
    <row r="285" spans="1:27" x14ac:dyDescent="0.25">
      <c r="A285">
        <v>281</v>
      </c>
      <c r="B285" s="19" t="s">
        <v>657</v>
      </c>
      <c r="C285" s="19" t="s">
        <v>254</v>
      </c>
      <c r="D285" s="19" t="s">
        <v>261</v>
      </c>
      <c r="E285" s="19" t="s">
        <v>262</v>
      </c>
      <c r="F285" s="19" t="s">
        <v>1142</v>
      </c>
      <c r="G285" s="12">
        <v>43139</v>
      </c>
      <c r="H285" s="12">
        <v>43172</v>
      </c>
      <c r="I285">
        <v>6</v>
      </c>
      <c r="J285" s="12">
        <v>43145</v>
      </c>
      <c r="K285" t="b">
        <v>1</v>
      </c>
      <c r="L285" s="12">
        <v>43139</v>
      </c>
      <c r="M285" t="b">
        <v>1</v>
      </c>
      <c r="N285">
        <v>1</v>
      </c>
      <c r="O285">
        <v>1</v>
      </c>
      <c r="P285" s="19" t="s">
        <v>1143</v>
      </c>
      <c r="Q285" s="19" t="s">
        <v>259</v>
      </c>
      <c r="R285" s="19" t="s">
        <v>131</v>
      </c>
      <c r="S285" s="19" t="s">
        <v>122</v>
      </c>
      <c r="T285" s="16">
        <v>219.9</v>
      </c>
      <c r="U285" s="16">
        <v>36.6</v>
      </c>
      <c r="V285" s="16">
        <v>256.5</v>
      </c>
      <c r="W285" s="19" t="s">
        <v>1144</v>
      </c>
      <c r="X285" s="19" t="s">
        <v>265</v>
      </c>
      <c r="Y285" s="12">
        <v>43177</v>
      </c>
      <c r="Z285" s="12">
        <v>43171</v>
      </c>
      <c r="AA285" s="12">
        <v>43177</v>
      </c>
    </row>
    <row r="286" spans="1:27" x14ac:dyDescent="0.25">
      <c r="A286">
        <v>282</v>
      </c>
      <c r="B286" s="19" t="s">
        <v>657</v>
      </c>
      <c r="C286" s="19" t="s">
        <v>254</v>
      </c>
      <c r="D286" s="19" t="s">
        <v>261</v>
      </c>
      <c r="E286" s="19" t="s">
        <v>262</v>
      </c>
      <c r="F286" s="19" t="s">
        <v>1145</v>
      </c>
      <c r="G286" s="12">
        <v>43140</v>
      </c>
      <c r="H286" s="12">
        <v>43172</v>
      </c>
      <c r="I286">
        <v>6</v>
      </c>
      <c r="J286" s="12">
        <v>43146</v>
      </c>
      <c r="K286" t="b">
        <v>1</v>
      </c>
      <c r="L286" s="12">
        <v>43140</v>
      </c>
      <c r="M286" t="b">
        <v>1</v>
      </c>
      <c r="N286">
        <v>1</v>
      </c>
      <c r="O286">
        <v>1</v>
      </c>
      <c r="P286" s="19" t="s">
        <v>1146</v>
      </c>
      <c r="Q286" s="19" t="s">
        <v>259</v>
      </c>
      <c r="R286" s="19" t="s">
        <v>121</v>
      </c>
      <c r="S286" s="19" t="s">
        <v>129</v>
      </c>
      <c r="T286" s="16">
        <v>89.9</v>
      </c>
      <c r="U286" s="16">
        <v>19.87</v>
      </c>
      <c r="V286" s="16">
        <v>109.77</v>
      </c>
      <c r="W286" s="19" t="s">
        <v>1141</v>
      </c>
      <c r="X286" s="19" t="s">
        <v>265</v>
      </c>
      <c r="Y286" s="12">
        <v>43177</v>
      </c>
      <c r="Z286" s="12">
        <v>43171</v>
      </c>
      <c r="AA286" s="12">
        <v>43177</v>
      </c>
    </row>
    <row r="287" spans="1:27" x14ac:dyDescent="0.25">
      <c r="A287">
        <v>283</v>
      </c>
      <c r="B287" s="19" t="s">
        <v>657</v>
      </c>
      <c r="C287" s="19" t="s">
        <v>254</v>
      </c>
      <c r="D287" s="19" t="s">
        <v>261</v>
      </c>
      <c r="E287" s="19" t="s">
        <v>262</v>
      </c>
      <c r="F287" s="19" t="s">
        <v>1147</v>
      </c>
      <c r="G287" s="12">
        <v>43140</v>
      </c>
      <c r="H287" s="12">
        <v>43172</v>
      </c>
      <c r="I287">
        <v>6</v>
      </c>
      <c r="J287" s="12">
        <v>43146</v>
      </c>
      <c r="K287" t="b">
        <v>1</v>
      </c>
      <c r="L287" s="12">
        <v>43145</v>
      </c>
      <c r="M287" t="b">
        <v>1</v>
      </c>
      <c r="N287">
        <v>1</v>
      </c>
      <c r="O287">
        <v>1</v>
      </c>
      <c r="P287" s="19" t="s">
        <v>1148</v>
      </c>
      <c r="Q287" s="19" t="s">
        <v>259</v>
      </c>
      <c r="R287" s="19" t="s">
        <v>135</v>
      </c>
      <c r="S287" s="19" t="s">
        <v>184</v>
      </c>
      <c r="T287" s="16">
        <v>57</v>
      </c>
      <c r="U287" s="16">
        <v>34.200000000000003</v>
      </c>
      <c r="V287" s="16">
        <v>91.2</v>
      </c>
      <c r="W287" s="19" t="s">
        <v>1149</v>
      </c>
      <c r="X287" s="19" t="s">
        <v>265</v>
      </c>
      <c r="Y287" s="12">
        <v>43177</v>
      </c>
      <c r="Z287" s="12">
        <v>43171</v>
      </c>
      <c r="AA287" s="12">
        <v>43177</v>
      </c>
    </row>
    <row r="288" spans="1:27" x14ac:dyDescent="0.25">
      <c r="A288">
        <v>284</v>
      </c>
      <c r="B288" s="19" t="s">
        <v>657</v>
      </c>
      <c r="C288" s="19" t="s">
        <v>254</v>
      </c>
      <c r="D288" s="19" t="s">
        <v>261</v>
      </c>
      <c r="E288" s="19" t="s">
        <v>262</v>
      </c>
      <c r="F288" s="19" t="s">
        <v>1150</v>
      </c>
      <c r="G288" s="12">
        <v>43143</v>
      </c>
      <c r="H288" s="12">
        <v>43172</v>
      </c>
      <c r="I288">
        <v>6</v>
      </c>
      <c r="J288" s="12">
        <v>43147</v>
      </c>
      <c r="K288" t="b">
        <v>1</v>
      </c>
      <c r="L288" s="12">
        <v>43145</v>
      </c>
      <c r="M288" t="b">
        <v>1</v>
      </c>
      <c r="N288">
        <v>1</v>
      </c>
      <c r="O288">
        <v>1</v>
      </c>
      <c r="P288" s="19" t="s">
        <v>621</v>
      </c>
      <c r="Q288" s="19" t="s">
        <v>259</v>
      </c>
      <c r="R288" s="19" t="s">
        <v>121</v>
      </c>
      <c r="S288" s="19" t="s">
        <v>122</v>
      </c>
      <c r="T288" s="16">
        <v>209.9</v>
      </c>
      <c r="U288" s="16">
        <v>18.72</v>
      </c>
      <c r="V288" s="16">
        <v>228.62</v>
      </c>
      <c r="W288" s="19" t="s">
        <v>1149</v>
      </c>
      <c r="X288" s="19" t="s">
        <v>265</v>
      </c>
      <c r="Y288" s="12">
        <v>43177</v>
      </c>
      <c r="Z288" s="12">
        <v>43171</v>
      </c>
      <c r="AA288" s="12">
        <v>43177</v>
      </c>
    </row>
    <row r="289" spans="1:27" x14ac:dyDescent="0.25">
      <c r="A289">
        <v>285</v>
      </c>
      <c r="B289" s="19" t="s">
        <v>657</v>
      </c>
      <c r="C289" s="19" t="s">
        <v>254</v>
      </c>
      <c r="D289" s="19" t="s">
        <v>261</v>
      </c>
      <c r="E289" s="19" t="s">
        <v>262</v>
      </c>
      <c r="F289" s="19" t="s">
        <v>1151</v>
      </c>
      <c r="G289" s="12">
        <v>43143</v>
      </c>
      <c r="H289" s="12">
        <v>43172</v>
      </c>
      <c r="I289">
        <v>6</v>
      </c>
      <c r="J289" s="12">
        <v>43147</v>
      </c>
      <c r="K289" t="b">
        <v>1</v>
      </c>
      <c r="L289" s="12">
        <v>43145</v>
      </c>
      <c r="M289" t="b">
        <v>1</v>
      </c>
      <c r="N289">
        <v>1</v>
      </c>
      <c r="O289">
        <v>1</v>
      </c>
      <c r="P289" s="19" t="s">
        <v>371</v>
      </c>
      <c r="Q289" s="19" t="s">
        <v>259</v>
      </c>
      <c r="R289" s="19" t="s">
        <v>121</v>
      </c>
      <c r="S289" s="19" t="s">
        <v>148</v>
      </c>
      <c r="T289" s="16">
        <v>55</v>
      </c>
      <c r="U289" s="16">
        <v>17.670000000000002</v>
      </c>
      <c r="V289" s="16">
        <v>72.67</v>
      </c>
      <c r="W289" s="19" t="s">
        <v>1149</v>
      </c>
      <c r="X289" s="19" t="s">
        <v>265</v>
      </c>
      <c r="Y289" s="12">
        <v>43177</v>
      </c>
      <c r="Z289" s="12">
        <v>43171</v>
      </c>
      <c r="AA289" s="12">
        <v>43177</v>
      </c>
    </row>
    <row r="290" spans="1:27" x14ac:dyDescent="0.25">
      <c r="A290">
        <v>286</v>
      </c>
      <c r="B290" s="19" t="s">
        <v>657</v>
      </c>
      <c r="C290" s="19" t="s">
        <v>254</v>
      </c>
      <c r="D290" s="19" t="s">
        <v>261</v>
      </c>
      <c r="E290" s="19" t="s">
        <v>262</v>
      </c>
      <c r="F290" s="19" t="s">
        <v>1152</v>
      </c>
      <c r="G290" s="12">
        <v>43145</v>
      </c>
      <c r="H290" s="12">
        <v>43172</v>
      </c>
      <c r="I290">
        <v>6</v>
      </c>
      <c r="J290" s="12">
        <v>43150</v>
      </c>
      <c r="K290" t="b">
        <v>1</v>
      </c>
      <c r="L290" s="12">
        <v>43145</v>
      </c>
      <c r="M290" t="b">
        <v>1</v>
      </c>
      <c r="N290">
        <v>1</v>
      </c>
      <c r="O290">
        <v>1</v>
      </c>
      <c r="P290" s="19" t="s">
        <v>1153</v>
      </c>
      <c r="Q290" s="19" t="s">
        <v>259</v>
      </c>
      <c r="R290" s="19" t="s">
        <v>121</v>
      </c>
      <c r="S290" s="19" t="s">
        <v>122</v>
      </c>
      <c r="T290" s="16">
        <v>3.54</v>
      </c>
      <c r="U290" s="16">
        <v>14.1</v>
      </c>
      <c r="V290" s="16">
        <v>17.64</v>
      </c>
      <c r="W290" s="19" t="s">
        <v>1149</v>
      </c>
      <c r="X290" s="19" t="s">
        <v>265</v>
      </c>
      <c r="Y290" s="12">
        <v>43177</v>
      </c>
      <c r="Z290" s="12">
        <v>43171</v>
      </c>
      <c r="AA290" s="12">
        <v>43177</v>
      </c>
    </row>
    <row r="291" spans="1:27" x14ac:dyDescent="0.25">
      <c r="A291">
        <v>287</v>
      </c>
      <c r="B291" s="19" t="s">
        <v>657</v>
      </c>
      <c r="C291" s="19" t="s">
        <v>254</v>
      </c>
      <c r="D291" s="19" t="s">
        <v>261</v>
      </c>
      <c r="E291" s="19" t="s">
        <v>262</v>
      </c>
      <c r="F291" s="19" t="s">
        <v>1154</v>
      </c>
      <c r="G291" s="12">
        <v>43145</v>
      </c>
      <c r="H291" s="12">
        <v>43172</v>
      </c>
      <c r="I291">
        <v>6</v>
      </c>
      <c r="J291" s="12">
        <v>43151</v>
      </c>
      <c r="K291" t="b">
        <v>1</v>
      </c>
      <c r="L291" s="12">
        <v>43154</v>
      </c>
      <c r="M291" t="b">
        <v>1</v>
      </c>
      <c r="N291">
        <v>4</v>
      </c>
      <c r="O291">
        <v>1</v>
      </c>
      <c r="P291" s="19" t="s">
        <v>1155</v>
      </c>
      <c r="Q291" s="19" t="s">
        <v>259</v>
      </c>
      <c r="R291" s="19" t="s">
        <v>121</v>
      </c>
      <c r="S291" s="19" t="s">
        <v>191</v>
      </c>
      <c r="T291" s="16">
        <v>265.52</v>
      </c>
      <c r="U291" s="16">
        <v>137.04</v>
      </c>
      <c r="V291" s="16">
        <v>402.56</v>
      </c>
      <c r="W291" s="19" t="s">
        <v>1156</v>
      </c>
      <c r="X291" s="19" t="s">
        <v>265</v>
      </c>
      <c r="Y291" s="12">
        <v>43177</v>
      </c>
      <c r="Z291" s="12">
        <v>43171</v>
      </c>
      <c r="AA291" s="12">
        <v>43177</v>
      </c>
    </row>
    <row r="292" spans="1:27" x14ac:dyDescent="0.25">
      <c r="A292">
        <v>288</v>
      </c>
      <c r="B292" s="19" t="s">
        <v>657</v>
      </c>
      <c r="C292" s="19" t="s">
        <v>254</v>
      </c>
      <c r="D292" s="19" t="s">
        <v>261</v>
      </c>
      <c r="E292" s="19" t="s">
        <v>262</v>
      </c>
      <c r="F292" s="19" t="s">
        <v>1157</v>
      </c>
      <c r="G292" s="12">
        <v>43145</v>
      </c>
      <c r="H292" s="12">
        <v>43172</v>
      </c>
      <c r="I292">
        <v>6</v>
      </c>
      <c r="J292" s="12">
        <v>43151</v>
      </c>
      <c r="K292" t="b">
        <v>1</v>
      </c>
      <c r="L292" s="12">
        <v>43147</v>
      </c>
      <c r="M292" t="b">
        <v>1</v>
      </c>
      <c r="N292">
        <v>1</v>
      </c>
      <c r="O292">
        <v>1</v>
      </c>
      <c r="P292" s="19" t="s">
        <v>279</v>
      </c>
      <c r="Q292" s="19" t="s">
        <v>259</v>
      </c>
      <c r="R292" s="19" t="s">
        <v>121</v>
      </c>
      <c r="S292" s="19" t="s">
        <v>152</v>
      </c>
      <c r="T292" s="16">
        <v>86.9</v>
      </c>
      <c r="U292" s="16">
        <v>33.06</v>
      </c>
      <c r="V292" s="16">
        <v>119.96</v>
      </c>
      <c r="W292" s="19" t="s">
        <v>1158</v>
      </c>
      <c r="X292" s="19" t="s">
        <v>265</v>
      </c>
      <c r="Y292" s="12">
        <v>43177</v>
      </c>
      <c r="Z292" s="12">
        <v>43171</v>
      </c>
      <c r="AA292" s="12">
        <v>43177</v>
      </c>
    </row>
    <row r="293" spans="1:27" x14ac:dyDescent="0.25">
      <c r="A293">
        <v>289</v>
      </c>
      <c r="B293" s="19" t="s">
        <v>657</v>
      </c>
      <c r="C293" s="19" t="s">
        <v>254</v>
      </c>
      <c r="D293" s="19" t="s">
        <v>261</v>
      </c>
      <c r="E293" s="19" t="s">
        <v>262</v>
      </c>
      <c r="F293" s="19" t="s">
        <v>1159</v>
      </c>
      <c r="G293" s="12">
        <v>43137</v>
      </c>
      <c r="H293" s="12">
        <v>43172</v>
      </c>
      <c r="I293">
        <v>6</v>
      </c>
      <c r="J293" s="12">
        <v>43152</v>
      </c>
      <c r="K293" t="b">
        <v>1</v>
      </c>
      <c r="L293" s="12">
        <v>43151</v>
      </c>
      <c r="M293" t="b">
        <v>1</v>
      </c>
      <c r="N293">
        <v>1</v>
      </c>
      <c r="O293">
        <v>1</v>
      </c>
      <c r="P293" s="19" t="s">
        <v>476</v>
      </c>
      <c r="Q293" s="19" t="s">
        <v>259</v>
      </c>
      <c r="R293" s="19" t="s">
        <v>121</v>
      </c>
      <c r="S293" s="19" t="s">
        <v>121</v>
      </c>
      <c r="T293" s="16">
        <v>136.99</v>
      </c>
      <c r="U293" s="16">
        <v>37.049999999999997</v>
      </c>
      <c r="V293" s="16">
        <v>174.04</v>
      </c>
      <c r="W293" s="19" t="s">
        <v>1160</v>
      </c>
      <c r="X293" s="19" t="s">
        <v>265</v>
      </c>
      <c r="Y293" s="12">
        <v>43177</v>
      </c>
      <c r="Z293" s="12">
        <v>43171</v>
      </c>
      <c r="AA293" s="12">
        <v>43177</v>
      </c>
    </row>
    <row r="294" spans="1:27" x14ac:dyDescent="0.25">
      <c r="A294">
        <v>290</v>
      </c>
      <c r="B294" s="19" t="s">
        <v>657</v>
      </c>
      <c r="C294" s="19" t="s">
        <v>254</v>
      </c>
      <c r="D294" s="19" t="s">
        <v>255</v>
      </c>
      <c r="E294" s="19" t="s">
        <v>256</v>
      </c>
      <c r="F294" s="19" t="s">
        <v>674</v>
      </c>
      <c r="G294" s="12">
        <v>43144</v>
      </c>
      <c r="H294" s="12">
        <v>43172</v>
      </c>
      <c r="I294">
        <v>6</v>
      </c>
      <c r="J294" s="12">
        <v>43152</v>
      </c>
      <c r="K294" t="b">
        <v>1</v>
      </c>
      <c r="L294" s="12"/>
      <c r="M294" t="b">
        <v>1</v>
      </c>
      <c r="N294">
        <v>1</v>
      </c>
      <c r="O294">
        <v>1</v>
      </c>
      <c r="P294" s="19" t="s">
        <v>675</v>
      </c>
      <c r="Q294" s="19" t="s">
        <v>259</v>
      </c>
      <c r="R294" s="19" t="s">
        <v>131</v>
      </c>
      <c r="S294" s="19" t="s">
        <v>129</v>
      </c>
      <c r="T294" s="16">
        <v>42.79</v>
      </c>
      <c r="U294" s="16">
        <v>16.79</v>
      </c>
      <c r="V294" s="16">
        <v>59.58</v>
      </c>
      <c r="W294" s="19" t="s">
        <v>1161</v>
      </c>
      <c r="X294" s="19" t="s">
        <v>260</v>
      </c>
      <c r="Y294" s="12">
        <v>43177</v>
      </c>
      <c r="Z294" s="12">
        <v>43171</v>
      </c>
      <c r="AA294" s="12">
        <v>43177</v>
      </c>
    </row>
    <row r="295" spans="1:27" x14ac:dyDescent="0.25">
      <c r="A295">
        <v>291</v>
      </c>
      <c r="B295" s="19" t="s">
        <v>657</v>
      </c>
      <c r="C295" s="19" t="s">
        <v>254</v>
      </c>
      <c r="D295" s="19" t="s">
        <v>261</v>
      </c>
      <c r="E295" s="19" t="s">
        <v>262</v>
      </c>
      <c r="F295" s="19" t="s">
        <v>1162</v>
      </c>
      <c r="G295" s="12">
        <v>43146</v>
      </c>
      <c r="H295" s="12">
        <v>43172</v>
      </c>
      <c r="I295">
        <v>6</v>
      </c>
      <c r="J295" s="12">
        <v>43153</v>
      </c>
      <c r="K295" t="b">
        <v>1</v>
      </c>
      <c r="L295" s="12">
        <v>43150</v>
      </c>
      <c r="M295" t="b">
        <v>1</v>
      </c>
      <c r="N295">
        <v>1</v>
      </c>
      <c r="O295">
        <v>1</v>
      </c>
      <c r="P295" s="19" t="s">
        <v>1163</v>
      </c>
      <c r="Q295" s="19" t="s">
        <v>259</v>
      </c>
      <c r="R295" s="19" t="s">
        <v>122</v>
      </c>
      <c r="S295" s="19" t="s">
        <v>129</v>
      </c>
      <c r="T295" s="16">
        <v>611</v>
      </c>
      <c r="U295" s="16">
        <v>60.51</v>
      </c>
      <c r="V295" s="16">
        <v>671.51</v>
      </c>
      <c r="W295" s="19" t="s">
        <v>1164</v>
      </c>
      <c r="X295" s="19" t="s">
        <v>265</v>
      </c>
      <c r="Y295" s="12">
        <v>43177</v>
      </c>
      <c r="Z295" s="12">
        <v>43171</v>
      </c>
      <c r="AA295" s="12">
        <v>43177</v>
      </c>
    </row>
    <row r="296" spans="1:27" x14ac:dyDescent="0.25">
      <c r="A296">
        <v>292</v>
      </c>
      <c r="B296" s="19" t="s">
        <v>657</v>
      </c>
      <c r="C296" s="19" t="s">
        <v>254</v>
      </c>
      <c r="D296" s="19" t="s">
        <v>261</v>
      </c>
      <c r="E296" s="19" t="s">
        <v>262</v>
      </c>
      <c r="F296" s="19" t="s">
        <v>1165</v>
      </c>
      <c r="G296" s="12">
        <v>43145</v>
      </c>
      <c r="H296" s="12">
        <v>43172</v>
      </c>
      <c r="I296">
        <v>6</v>
      </c>
      <c r="J296" s="12">
        <v>43153</v>
      </c>
      <c r="K296" t="b">
        <v>1</v>
      </c>
      <c r="L296" s="12">
        <v>43147</v>
      </c>
      <c r="M296" t="b">
        <v>1</v>
      </c>
      <c r="N296">
        <v>1</v>
      </c>
      <c r="O296">
        <v>1</v>
      </c>
      <c r="P296" s="19" t="s">
        <v>595</v>
      </c>
      <c r="Q296" s="19" t="s">
        <v>259</v>
      </c>
      <c r="R296" s="19" t="s">
        <v>121</v>
      </c>
      <c r="S296" s="19" t="s">
        <v>131</v>
      </c>
      <c r="T296" s="16">
        <v>107</v>
      </c>
      <c r="U296" s="16">
        <v>15.5</v>
      </c>
      <c r="V296" s="16">
        <v>122.5</v>
      </c>
      <c r="W296" s="19" t="s">
        <v>1158</v>
      </c>
      <c r="X296" s="19" t="s">
        <v>265</v>
      </c>
      <c r="Y296" s="12">
        <v>43177</v>
      </c>
      <c r="Z296" s="12">
        <v>43171</v>
      </c>
      <c r="AA296" s="12">
        <v>43177</v>
      </c>
    </row>
    <row r="297" spans="1:27" x14ac:dyDescent="0.25">
      <c r="A297">
        <v>293</v>
      </c>
      <c r="B297" s="19" t="s">
        <v>657</v>
      </c>
      <c r="C297" s="19" t="s">
        <v>254</v>
      </c>
      <c r="D297" s="19" t="s">
        <v>261</v>
      </c>
      <c r="E297" s="19" t="s">
        <v>262</v>
      </c>
      <c r="F297" s="19" t="s">
        <v>1166</v>
      </c>
      <c r="G297" s="12">
        <v>43147</v>
      </c>
      <c r="H297" s="12">
        <v>43172</v>
      </c>
      <c r="I297">
        <v>6</v>
      </c>
      <c r="J297" s="12">
        <v>43153</v>
      </c>
      <c r="K297" t="b">
        <v>1</v>
      </c>
      <c r="L297" s="12">
        <v>43151</v>
      </c>
      <c r="M297" t="b">
        <v>1</v>
      </c>
      <c r="N297">
        <v>2</v>
      </c>
      <c r="O297">
        <v>1</v>
      </c>
      <c r="P297" s="19" t="s">
        <v>1167</v>
      </c>
      <c r="Q297" s="19" t="s">
        <v>259</v>
      </c>
      <c r="R297" s="19" t="s">
        <v>121</v>
      </c>
      <c r="S297" s="19" t="s">
        <v>127</v>
      </c>
      <c r="T297" s="16">
        <v>105.99</v>
      </c>
      <c r="U297" s="16">
        <v>31.25</v>
      </c>
      <c r="V297" s="16">
        <v>137.24</v>
      </c>
      <c r="W297" s="19" t="s">
        <v>1160</v>
      </c>
      <c r="X297" s="19" t="s">
        <v>265</v>
      </c>
      <c r="Y297" s="12">
        <v>43177</v>
      </c>
      <c r="Z297" s="12">
        <v>43171</v>
      </c>
      <c r="AA297" s="12">
        <v>43177</v>
      </c>
    </row>
    <row r="298" spans="1:27" x14ac:dyDescent="0.25">
      <c r="A298">
        <v>294</v>
      </c>
      <c r="B298" s="19" t="s">
        <v>657</v>
      </c>
      <c r="C298" s="19" t="s">
        <v>254</v>
      </c>
      <c r="D298" s="19" t="s">
        <v>261</v>
      </c>
      <c r="E298" s="19" t="s">
        <v>262</v>
      </c>
      <c r="F298" s="19" t="s">
        <v>1168</v>
      </c>
      <c r="G298" s="12">
        <v>43149</v>
      </c>
      <c r="H298" s="12">
        <v>43172</v>
      </c>
      <c r="I298">
        <v>6</v>
      </c>
      <c r="J298" s="12">
        <v>43153</v>
      </c>
      <c r="K298" t="b">
        <v>1</v>
      </c>
      <c r="L298" s="12">
        <v>43151</v>
      </c>
      <c r="M298" t="b">
        <v>1</v>
      </c>
      <c r="N298">
        <v>1</v>
      </c>
      <c r="O298">
        <v>1</v>
      </c>
      <c r="P298" s="19" t="s">
        <v>320</v>
      </c>
      <c r="Q298" s="19" t="s">
        <v>259</v>
      </c>
      <c r="R298" s="19" t="s">
        <v>121</v>
      </c>
      <c r="S298" s="19" t="s">
        <v>122</v>
      </c>
      <c r="T298" s="16">
        <v>24.99</v>
      </c>
      <c r="U298" s="16">
        <v>14.1</v>
      </c>
      <c r="V298" s="16">
        <v>39.090000000000003</v>
      </c>
      <c r="W298" s="19" t="s">
        <v>1160</v>
      </c>
      <c r="X298" s="19" t="s">
        <v>265</v>
      </c>
      <c r="Y298" s="12">
        <v>43177</v>
      </c>
      <c r="Z298" s="12">
        <v>43171</v>
      </c>
      <c r="AA298" s="12">
        <v>43177</v>
      </c>
    </row>
    <row r="299" spans="1:27" x14ac:dyDescent="0.25">
      <c r="A299">
        <v>295</v>
      </c>
      <c r="B299" s="19" t="s">
        <v>657</v>
      </c>
      <c r="C299" s="19" t="s">
        <v>254</v>
      </c>
      <c r="D299" s="19" t="s">
        <v>261</v>
      </c>
      <c r="E299" s="19" t="s">
        <v>262</v>
      </c>
      <c r="F299" s="19" t="s">
        <v>1169</v>
      </c>
      <c r="G299" s="12">
        <v>43149</v>
      </c>
      <c r="H299" s="12">
        <v>43172</v>
      </c>
      <c r="I299">
        <v>6</v>
      </c>
      <c r="J299" s="12">
        <v>43153</v>
      </c>
      <c r="K299" t="b">
        <v>1</v>
      </c>
      <c r="L299" s="12">
        <v>43150</v>
      </c>
      <c r="M299" t="b">
        <v>1</v>
      </c>
      <c r="N299">
        <v>1</v>
      </c>
      <c r="O299">
        <v>1</v>
      </c>
      <c r="P299" s="19" t="s">
        <v>485</v>
      </c>
      <c r="Q299" s="19" t="s">
        <v>259</v>
      </c>
      <c r="R299" s="19" t="s">
        <v>121</v>
      </c>
      <c r="S299" s="19" t="s">
        <v>133</v>
      </c>
      <c r="T299" s="16">
        <v>21.99</v>
      </c>
      <c r="U299" s="16">
        <v>15.11</v>
      </c>
      <c r="V299" s="16">
        <v>37.1</v>
      </c>
      <c r="W299" s="19" t="s">
        <v>1164</v>
      </c>
      <c r="X299" s="19" t="s">
        <v>265</v>
      </c>
      <c r="Y299" s="12">
        <v>43177</v>
      </c>
      <c r="Z299" s="12">
        <v>43171</v>
      </c>
      <c r="AA299" s="12">
        <v>43177</v>
      </c>
    </row>
    <row r="300" spans="1:27" x14ac:dyDescent="0.25">
      <c r="A300">
        <v>296</v>
      </c>
      <c r="B300" s="19" t="s">
        <v>657</v>
      </c>
      <c r="C300" s="19" t="s">
        <v>254</v>
      </c>
      <c r="D300" s="19" t="s">
        <v>261</v>
      </c>
      <c r="E300" s="19" t="s">
        <v>262</v>
      </c>
      <c r="F300" s="19" t="s">
        <v>1170</v>
      </c>
      <c r="G300" s="12">
        <v>43147</v>
      </c>
      <c r="H300" s="12">
        <v>43172</v>
      </c>
      <c r="I300">
        <v>6</v>
      </c>
      <c r="J300" s="12">
        <v>43153</v>
      </c>
      <c r="K300" t="b">
        <v>1</v>
      </c>
      <c r="L300" s="12">
        <v>43150</v>
      </c>
      <c r="M300" t="b">
        <v>1</v>
      </c>
      <c r="N300">
        <v>1</v>
      </c>
      <c r="O300">
        <v>1</v>
      </c>
      <c r="P300" s="19" t="s">
        <v>545</v>
      </c>
      <c r="Q300" s="19" t="s">
        <v>259</v>
      </c>
      <c r="R300" s="19" t="s">
        <v>121</v>
      </c>
      <c r="S300" s="19" t="s">
        <v>122</v>
      </c>
      <c r="T300" s="16">
        <v>20.3</v>
      </c>
      <c r="U300" s="16">
        <v>15.1</v>
      </c>
      <c r="V300" s="16">
        <v>35.4</v>
      </c>
      <c r="W300" s="19" t="s">
        <v>1164</v>
      </c>
      <c r="X300" s="19" t="s">
        <v>265</v>
      </c>
      <c r="Y300" s="12">
        <v>43177</v>
      </c>
      <c r="Z300" s="12">
        <v>43171</v>
      </c>
      <c r="AA300" s="12">
        <v>43177</v>
      </c>
    </row>
    <row r="301" spans="1:27" x14ac:dyDescent="0.25">
      <c r="A301">
        <v>297</v>
      </c>
      <c r="B301" s="19" t="s">
        <v>657</v>
      </c>
      <c r="C301" s="19" t="s">
        <v>254</v>
      </c>
      <c r="D301" s="19" t="s">
        <v>261</v>
      </c>
      <c r="E301" s="19" t="s">
        <v>262</v>
      </c>
      <c r="F301" s="19" t="s">
        <v>1171</v>
      </c>
      <c r="G301" s="12">
        <v>43145</v>
      </c>
      <c r="H301" s="12">
        <v>43172</v>
      </c>
      <c r="I301">
        <v>6</v>
      </c>
      <c r="J301" s="12">
        <v>43154</v>
      </c>
      <c r="K301" t="b">
        <v>1</v>
      </c>
      <c r="L301" s="12">
        <v>43153</v>
      </c>
      <c r="M301" t="b">
        <v>1</v>
      </c>
      <c r="N301">
        <v>1</v>
      </c>
      <c r="O301">
        <v>1</v>
      </c>
      <c r="P301" s="19" t="s">
        <v>1172</v>
      </c>
      <c r="Q301" s="19" t="s">
        <v>259</v>
      </c>
      <c r="R301" s="19" t="s">
        <v>121</v>
      </c>
      <c r="S301" s="19" t="s">
        <v>125</v>
      </c>
      <c r="T301" s="16">
        <v>250</v>
      </c>
      <c r="U301" s="16">
        <v>62.49</v>
      </c>
      <c r="V301" s="16">
        <v>312.49</v>
      </c>
      <c r="W301" s="19" t="s">
        <v>1173</v>
      </c>
      <c r="X301" s="19" t="s">
        <v>265</v>
      </c>
      <c r="Y301" s="12">
        <v>43177</v>
      </c>
      <c r="Z301" s="12">
        <v>43171</v>
      </c>
      <c r="AA301" s="12">
        <v>43177</v>
      </c>
    </row>
    <row r="302" spans="1:27" x14ac:dyDescent="0.25">
      <c r="A302">
        <v>298</v>
      </c>
      <c r="B302" s="19" t="s">
        <v>657</v>
      </c>
      <c r="C302" s="19" t="s">
        <v>254</v>
      </c>
      <c r="D302" s="19" t="s">
        <v>261</v>
      </c>
      <c r="E302" s="19" t="s">
        <v>262</v>
      </c>
      <c r="F302" s="19" t="s">
        <v>1174</v>
      </c>
      <c r="G302" s="12">
        <v>43144</v>
      </c>
      <c r="H302" s="12">
        <v>43172</v>
      </c>
      <c r="I302">
        <v>6</v>
      </c>
      <c r="J302" s="12">
        <v>43154</v>
      </c>
      <c r="K302" t="b">
        <v>1</v>
      </c>
      <c r="L302" s="12">
        <v>43147</v>
      </c>
      <c r="M302" t="b">
        <v>1</v>
      </c>
      <c r="N302">
        <v>1</v>
      </c>
      <c r="O302">
        <v>1</v>
      </c>
      <c r="P302" s="19" t="s">
        <v>433</v>
      </c>
      <c r="Q302" s="19" t="s">
        <v>259</v>
      </c>
      <c r="R302" s="19" t="s">
        <v>121</v>
      </c>
      <c r="S302" s="19" t="s">
        <v>122</v>
      </c>
      <c r="T302" s="16">
        <v>215</v>
      </c>
      <c r="U302" s="16">
        <v>21</v>
      </c>
      <c r="V302" s="16">
        <v>236</v>
      </c>
      <c r="W302" s="19" t="s">
        <v>1158</v>
      </c>
      <c r="X302" s="19" t="s">
        <v>265</v>
      </c>
      <c r="Y302" s="12">
        <v>43177</v>
      </c>
      <c r="Z302" s="12">
        <v>43171</v>
      </c>
      <c r="AA302" s="12">
        <v>43177</v>
      </c>
    </row>
    <row r="303" spans="1:27" x14ac:dyDescent="0.25">
      <c r="A303">
        <v>299</v>
      </c>
      <c r="B303" s="19" t="s">
        <v>657</v>
      </c>
      <c r="C303" s="19" t="s">
        <v>254</v>
      </c>
      <c r="D303" s="19" t="s">
        <v>261</v>
      </c>
      <c r="E303" s="19" t="s">
        <v>262</v>
      </c>
      <c r="F303" s="19" t="s">
        <v>1175</v>
      </c>
      <c r="G303" s="12">
        <v>43150</v>
      </c>
      <c r="H303" s="12">
        <v>43172</v>
      </c>
      <c r="I303">
        <v>6</v>
      </c>
      <c r="J303" s="12">
        <v>43154</v>
      </c>
      <c r="K303" t="b">
        <v>1</v>
      </c>
      <c r="L303" s="12">
        <v>43150</v>
      </c>
      <c r="M303" t="b">
        <v>1</v>
      </c>
      <c r="N303">
        <v>1</v>
      </c>
      <c r="O303">
        <v>1</v>
      </c>
      <c r="P303" s="19" t="s">
        <v>485</v>
      </c>
      <c r="Q303" s="19" t="s">
        <v>259</v>
      </c>
      <c r="R303" s="19" t="s">
        <v>121</v>
      </c>
      <c r="S303" s="19" t="s">
        <v>125</v>
      </c>
      <c r="T303" s="16">
        <v>65.989999999999995</v>
      </c>
      <c r="U303" s="16">
        <v>16.71</v>
      </c>
      <c r="V303" s="16">
        <v>82.7</v>
      </c>
      <c r="W303" s="19" t="s">
        <v>1164</v>
      </c>
      <c r="X303" s="19" t="s">
        <v>265</v>
      </c>
      <c r="Y303" s="12">
        <v>43177</v>
      </c>
      <c r="Z303" s="12">
        <v>43171</v>
      </c>
      <c r="AA303" s="12">
        <v>43177</v>
      </c>
    </row>
    <row r="304" spans="1:27" x14ac:dyDescent="0.25">
      <c r="A304">
        <v>300</v>
      </c>
      <c r="B304" s="19" t="s">
        <v>657</v>
      </c>
      <c r="C304" s="19" t="s">
        <v>254</v>
      </c>
      <c r="D304" s="19" t="s">
        <v>261</v>
      </c>
      <c r="E304" s="19" t="s">
        <v>262</v>
      </c>
      <c r="F304" s="19" t="s">
        <v>1176</v>
      </c>
      <c r="G304" s="12">
        <v>43147</v>
      </c>
      <c r="H304" s="12">
        <v>43172</v>
      </c>
      <c r="I304">
        <v>6</v>
      </c>
      <c r="J304" s="12">
        <v>43157</v>
      </c>
      <c r="K304" t="b">
        <v>1</v>
      </c>
      <c r="L304" s="12">
        <v>43150</v>
      </c>
      <c r="M304" t="b">
        <v>1</v>
      </c>
      <c r="N304">
        <v>1</v>
      </c>
      <c r="O304">
        <v>1</v>
      </c>
      <c r="P304" s="19" t="s">
        <v>1177</v>
      </c>
      <c r="Q304" s="19" t="s">
        <v>259</v>
      </c>
      <c r="R304" s="19" t="s">
        <v>121</v>
      </c>
      <c r="S304" s="19" t="s">
        <v>121</v>
      </c>
      <c r="T304" s="16">
        <v>979</v>
      </c>
      <c r="U304" s="16">
        <v>78.2</v>
      </c>
      <c r="V304" s="16">
        <v>1057.2</v>
      </c>
      <c r="W304" s="19" t="s">
        <v>1164</v>
      </c>
      <c r="X304" s="19" t="s">
        <v>265</v>
      </c>
      <c r="Y304" s="12">
        <v>43177</v>
      </c>
      <c r="Z304" s="12">
        <v>43171</v>
      </c>
      <c r="AA304" s="12">
        <v>43177</v>
      </c>
    </row>
    <row r="305" spans="1:27" x14ac:dyDescent="0.25">
      <c r="A305">
        <v>301</v>
      </c>
      <c r="B305" s="19" t="s">
        <v>657</v>
      </c>
      <c r="C305" s="19" t="s">
        <v>254</v>
      </c>
      <c r="D305" s="19" t="s">
        <v>255</v>
      </c>
      <c r="E305" s="19" t="s">
        <v>256</v>
      </c>
      <c r="F305" s="19" t="s">
        <v>676</v>
      </c>
      <c r="G305" s="12">
        <v>43148</v>
      </c>
      <c r="H305" s="12">
        <v>43172</v>
      </c>
      <c r="I305">
        <v>6</v>
      </c>
      <c r="J305" s="12">
        <v>43157</v>
      </c>
      <c r="K305" t="b">
        <v>1</v>
      </c>
      <c r="L305" s="12"/>
      <c r="M305" t="b">
        <v>1</v>
      </c>
      <c r="N305">
        <v>1</v>
      </c>
      <c r="O305">
        <v>1</v>
      </c>
      <c r="P305" s="19" t="s">
        <v>677</v>
      </c>
      <c r="Q305" s="19" t="s">
        <v>259</v>
      </c>
      <c r="R305" s="19" t="s">
        <v>121</v>
      </c>
      <c r="S305" s="19" t="s">
        <v>121</v>
      </c>
      <c r="T305" s="16">
        <v>20.99</v>
      </c>
      <c r="U305" s="16">
        <v>11.85</v>
      </c>
      <c r="V305" s="16">
        <v>32.840000000000003</v>
      </c>
      <c r="W305" s="19" t="s">
        <v>1178</v>
      </c>
      <c r="X305" s="19" t="s">
        <v>260</v>
      </c>
      <c r="Y305" s="12">
        <v>43177</v>
      </c>
      <c r="Z305" s="12">
        <v>43171</v>
      </c>
      <c r="AA305" s="12">
        <v>43177</v>
      </c>
    </row>
    <row r="306" spans="1:27" x14ac:dyDescent="0.25">
      <c r="A306">
        <v>302</v>
      </c>
      <c r="B306" s="19" t="s">
        <v>657</v>
      </c>
      <c r="C306" s="19" t="s">
        <v>254</v>
      </c>
      <c r="D306" s="19" t="s">
        <v>255</v>
      </c>
      <c r="E306" s="19" t="s">
        <v>256</v>
      </c>
      <c r="F306" s="19" t="s">
        <v>678</v>
      </c>
      <c r="G306" s="12">
        <v>43152</v>
      </c>
      <c r="H306" s="12">
        <v>43172</v>
      </c>
      <c r="I306">
        <v>6</v>
      </c>
      <c r="J306" s="12">
        <v>43158</v>
      </c>
      <c r="K306" t="b">
        <v>1</v>
      </c>
      <c r="L306" s="12"/>
      <c r="M306" t="b">
        <v>1</v>
      </c>
      <c r="N306">
        <v>1</v>
      </c>
      <c r="O306">
        <v>1</v>
      </c>
      <c r="P306" s="19" t="s">
        <v>673</v>
      </c>
      <c r="Q306" s="19" t="s">
        <v>259</v>
      </c>
      <c r="R306" s="19" t="s">
        <v>121</v>
      </c>
      <c r="S306" s="19" t="s">
        <v>121</v>
      </c>
      <c r="T306" s="16">
        <v>159.9</v>
      </c>
      <c r="U306" s="16">
        <v>14.14</v>
      </c>
      <c r="V306" s="16">
        <v>174.04</v>
      </c>
      <c r="W306" s="19" t="s">
        <v>1179</v>
      </c>
      <c r="X306" s="19" t="s">
        <v>260</v>
      </c>
      <c r="Y306" s="12">
        <v>43177</v>
      </c>
      <c r="Z306" s="12">
        <v>43171</v>
      </c>
      <c r="AA306" s="12">
        <v>43177</v>
      </c>
    </row>
    <row r="307" spans="1:27" x14ac:dyDescent="0.25">
      <c r="A307">
        <v>303</v>
      </c>
      <c r="B307" s="19" t="s">
        <v>657</v>
      </c>
      <c r="C307" s="19" t="s">
        <v>254</v>
      </c>
      <c r="D307" s="19" t="s">
        <v>261</v>
      </c>
      <c r="E307" s="19" t="s">
        <v>262</v>
      </c>
      <c r="F307" s="19" t="s">
        <v>1180</v>
      </c>
      <c r="G307" s="12">
        <v>43152</v>
      </c>
      <c r="H307" s="12">
        <v>43172</v>
      </c>
      <c r="I307">
        <v>6</v>
      </c>
      <c r="J307" s="12">
        <v>43158</v>
      </c>
      <c r="K307" t="b">
        <v>1</v>
      </c>
      <c r="L307" s="12">
        <v>43158</v>
      </c>
      <c r="M307" t="b">
        <v>1</v>
      </c>
      <c r="N307">
        <v>1</v>
      </c>
      <c r="O307">
        <v>1</v>
      </c>
      <c r="P307" s="19" t="s">
        <v>1181</v>
      </c>
      <c r="Q307" s="19" t="s">
        <v>259</v>
      </c>
      <c r="R307" s="19" t="s">
        <v>121</v>
      </c>
      <c r="S307" s="19" t="s">
        <v>121</v>
      </c>
      <c r="T307" s="16">
        <v>44</v>
      </c>
      <c r="U307" s="16">
        <v>11.85</v>
      </c>
      <c r="V307" s="16">
        <v>55.85</v>
      </c>
      <c r="W307" s="19" t="s">
        <v>1182</v>
      </c>
      <c r="X307" s="19" t="s">
        <v>265</v>
      </c>
      <c r="Y307" s="12">
        <v>43177</v>
      </c>
      <c r="Z307" s="12">
        <v>43171</v>
      </c>
      <c r="AA307" s="12">
        <v>43177</v>
      </c>
    </row>
    <row r="308" spans="1:27" x14ac:dyDescent="0.25">
      <c r="A308">
        <v>304</v>
      </c>
      <c r="B308" s="19" t="s">
        <v>657</v>
      </c>
      <c r="C308" s="19" t="s">
        <v>254</v>
      </c>
      <c r="D308" s="19" t="s">
        <v>261</v>
      </c>
      <c r="E308" s="19" t="s">
        <v>262</v>
      </c>
      <c r="F308" s="19" t="s">
        <v>1183</v>
      </c>
      <c r="G308" s="12">
        <v>43152</v>
      </c>
      <c r="H308" s="12">
        <v>43172</v>
      </c>
      <c r="I308">
        <v>6</v>
      </c>
      <c r="J308" s="12">
        <v>43158</v>
      </c>
      <c r="K308" t="b">
        <v>1</v>
      </c>
      <c r="L308" s="12">
        <v>43157</v>
      </c>
      <c r="M308" t="b">
        <v>1</v>
      </c>
      <c r="N308">
        <v>1</v>
      </c>
      <c r="O308">
        <v>1</v>
      </c>
      <c r="P308" s="19" t="s">
        <v>1184</v>
      </c>
      <c r="Q308" s="19" t="s">
        <v>259</v>
      </c>
      <c r="R308" s="19" t="s">
        <v>121</v>
      </c>
      <c r="S308" s="19" t="s">
        <v>121</v>
      </c>
      <c r="T308" s="16">
        <v>24.99</v>
      </c>
      <c r="U308" s="16">
        <v>11.85</v>
      </c>
      <c r="V308" s="16">
        <v>36.840000000000003</v>
      </c>
      <c r="W308" s="19" t="s">
        <v>1185</v>
      </c>
      <c r="X308" s="19" t="s">
        <v>265</v>
      </c>
      <c r="Y308" s="12">
        <v>43177</v>
      </c>
      <c r="Z308" s="12">
        <v>43171</v>
      </c>
      <c r="AA308" s="12">
        <v>43177</v>
      </c>
    </row>
    <row r="309" spans="1:27" x14ac:dyDescent="0.25">
      <c r="A309">
        <v>305</v>
      </c>
      <c r="B309" s="19" t="s">
        <v>657</v>
      </c>
      <c r="C309" s="19" t="s">
        <v>254</v>
      </c>
      <c r="D309" s="19" t="s">
        <v>261</v>
      </c>
      <c r="E309" s="19" t="s">
        <v>262</v>
      </c>
      <c r="F309" s="19" t="s">
        <v>1186</v>
      </c>
      <c r="G309" s="12">
        <v>43152</v>
      </c>
      <c r="H309" s="12">
        <v>43172</v>
      </c>
      <c r="I309">
        <v>6</v>
      </c>
      <c r="J309" s="12">
        <v>43158</v>
      </c>
      <c r="K309" t="b">
        <v>1</v>
      </c>
      <c r="L309" s="12">
        <v>43158</v>
      </c>
      <c r="M309" t="b">
        <v>1</v>
      </c>
      <c r="N309">
        <v>1</v>
      </c>
      <c r="O309">
        <v>1</v>
      </c>
      <c r="P309" s="19" t="s">
        <v>1187</v>
      </c>
      <c r="Q309" s="19" t="s">
        <v>259</v>
      </c>
      <c r="R309" s="19" t="s">
        <v>121</v>
      </c>
      <c r="S309" s="19" t="s">
        <v>121</v>
      </c>
      <c r="T309" s="16">
        <v>10.99</v>
      </c>
      <c r="U309" s="16">
        <v>11.85</v>
      </c>
      <c r="V309" s="16">
        <v>22.84</v>
      </c>
      <c r="W309" s="19" t="s">
        <v>1182</v>
      </c>
      <c r="X309" s="19" t="s">
        <v>265</v>
      </c>
      <c r="Y309" s="12">
        <v>43177</v>
      </c>
      <c r="Z309" s="12">
        <v>43171</v>
      </c>
      <c r="AA309" s="12">
        <v>43177</v>
      </c>
    </row>
    <row r="310" spans="1:27" x14ac:dyDescent="0.25">
      <c r="A310">
        <v>306</v>
      </c>
      <c r="B310" s="19" t="s">
        <v>657</v>
      </c>
      <c r="C310" s="19" t="s">
        <v>254</v>
      </c>
      <c r="D310" s="19" t="s">
        <v>261</v>
      </c>
      <c r="E310" s="19" t="s">
        <v>262</v>
      </c>
      <c r="F310" s="19" t="s">
        <v>1188</v>
      </c>
      <c r="G310" s="12">
        <v>43152</v>
      </c>
      <c r="H310" s="12">
        <v>43172</v>
      </c>
      <c r="I310">
        <v>6</v>
      </c>
      <c r="J310" s="12">
        <v>43160</v>
      </c>
      <c r="K310" t="b">
        <v>1</v>
      </c>
      <c r="L310" s="12">
        <v>43159</v>
      </c>
      <c r="M310" t="b">
        <v>1</v>
      </c>
      <c r="N310">
        <v>2</v>
      </c>
      <c r="O310">
        <v>1</v>
      </c>
      <c r="P310" s="19" t="s">
        <v>1189</v>
      </c>
      <c r="Q310" s="19" t="s">
        <v>259</v>
      </c>
      <c r="R310" s="19" t="s">
        <v>131</v>
      </c>
      <c r="S310" s="19" t="s">
        <v>122</v>
      </c>
      <c r="T310" s="16">
        <v>287.8</v>
      </c>
      <c r="U310" s="16">
        <v>63.52</v>
      </c>
      <c r="V310" s="16">
        <v>351.32</v>
      </c>
      <c r="W310" s="19" t="s">
        <v>1190</v>
      </c>
      <c r="X310" s="19" t="s">
        <v>265</v>
      </c>
      <c r="Y310" s="12">
        <v>43177</v>
      </c>
      <c r="Z310" s="12">
        <v>43171</v>
      </c>
      <c r="AA310" s="12">
        <v>43177</v>
      </c>
    </row>
    <row r="311" spans="1:27" x14ac:dyDescent="0.25">
      <c r="A311">
        <v>307</v>
      </c>
      <c r="B311" s="19" t="s">
        <v>657</v>
      </c>
      <c r="C311" s="19" t="s">
        <v>254</v>
      </c>
      <c r="D311" s="19" t="s">
        <v>261</v>
      </c>
      <c r="E311" s="19" t="s">
        <v>262</v>
      </c>
      <c r="F311" s="19" t="s">
        <v>679</v>
      </c>
      <c r="G311" s="12">
        <v>43158</v>
      </c>
      <c r="H311" s="12">
        <v>43172</v>
      </c>
      <c r="I311">
        <v>6</v>
      </c>
      <c r="J311" s="12">
        <v>43164</v>
      </c>
      <c r="K311" t="b">
        <v>1</v>
      </c>
      <c r="L311" s="12">
        <v>43175</v>
      </c>
      <c r="M311" t="b">
        <v>1</v>
      </c>
      <c r="N311">
        <v>2</v>
      </c>
      <c r="O311">
        <v>1</v>
      </c>
      <c r="P311" s="19" t="s">
        <v>680</v>
      </c>
      <c r="Q311" s="19" t="s">
        <v>259</v>
      </c>
      <c r="R311" s="19" t="s">
        <v>121</v>
      </c>
      <c r="S311" s="19" t="s">
        <v>121</v>
      </c>
      <c r="T311" s="16">
        <v>141.78</v>
      </c>
      <c r="U311" s="16">
        <v>19.88</v>
      </c>
      <c r="V311" s="16">
        <v>161.66</v>
      </c>
      <c r="W311" s="19" t="s">
        <v>1191</v>
      </c>
      <c r="X311" s="19" t="s">
        <v>265</v>
      </c>
      <c r="Y311" s="12">
        <v>43177</v>
      </c>
      <c r="Z311" s="12">
        <v>43171</v>
      </c>
      <c r="AA311" s="12">
        <v>43177</v>
      </c>
    </row>
    <row r="312" spans="1:27" x14ac:dyDescent="0.25">
      <c r="A312">
        <v>308</v>
      </c>
      <c r="B312" s="19" t="s">
        <v>657</v>
      </c>
      <c r="C312" s="19" t="s">
        <v>254</v>
      </c>
      <c r="D312" s="19" t="s">
        <v>261</v>
      </c>
      <c r="E312" s="19" t="s">
        <v>262</v>
      </c>
      <c r="F312" s="19" t="s">
        <v>681</v>
      </c>
      <c r="G312" s="12">
        <v>43158</v>
      </c>
      <c r="H312" s="12">
        <v>43172</v>
      </c>
      <c r="I312">
        <v>6</v>
      </c>
      <c r="J312" s="12">
        <v>43164</v>
      </c>
      <c r="K312" t="b">
        <v>1</v>
      </c>
      <c r="L312" s="12">
        <v>43176</v>
      </c>
      <c r="M312" t="b">
        <v>1</v>
      </c>
      <c r="N312">
        <v>1</v>
      </c>
      <c r="O312">
        <v>1</v>
      </c>
      <c r="P312" s="19" t="s">
        <v>670</v>
      </c>
      <c r="Q312" s="19" t="s">
        <v>259</v>
      </c>
      <c r="R312" s="19" t="s">
        <v>121</v>
      </c>
      <c r="S312" s="19" t="s">
        <v>121</v>
      </c>
      <c r="T312" s="16">
        <v>89.9</v>
      </c>
      <c r="U312" s="16">
        <v>11.83</v>
      </c>
      <c r="V312" s="16">
        <v>101.73</v>
      </c>
      <c r="W312" s="19" t="s">
        <v>1192</v>
      </c>
      <c r="X312" s="19" t="s">
        <v>265</v>
      </c>
      <c r="Y312" s="12">
        <v>43177</v>
      </c>
      <c r="Z312" s="12">
        <v>43171</v>
      </c>
      <c r="AA312" s="12">
        <v>43177</v>
      </c>
    </row>
    <row r="313" spans="1:27" x14ac:dyDescent="0.25">
      <c r="A313">
        <v>309</v>
      </c>
      <c r="B313" s="19" t="s">
        <v>657</v>
      </c>
      <c r="C313" s="19" t="s">
        <v>254</v>
      </c>
      <c r="D313" s="19" t="s">
        <v>255</v>
      </c>
      <c r="E313" s="19" t="s">
        <v>256</v>
      </c>
      <c r="F313" s="19" t="s">
        <v>682</v>
      </c>
      <c r="G313" s="12">
        <v>43153</v>
      </c>
      <c r="H313" s="12">
        <v>43172</v>
      </c>
      <c r="I313">
        <v>6</v>
      </c>
      <c r="J313" s="12">
        <v>43164</v>
      </c>
      <c r="K313" t="b">
        <v>1</v>
      </c>
      <c r="L313" s="12"/>
      <c r="M313" t="b">
        <v>1</v>
      </c>
      <c r="N313">
        <v>6</v>
      </c>
      <c r="O313">
        <v>1</v>
      </c>
      <c r="P313" s="19" t="s">
        <v>683</v>
      </c>
      <c r="Q313" s="19" t="s">
        <v>259</v>
      </c>
      <c r="R313" s="19" t="s">
        <v>121</v>
      </c>
      <c r="S313" s="19" t="s">
        <v>121</v>
      </c>
      <c r="T313" s="16">
        <v>77.94</v>
      </c>
      <c r="U313" s="16">
        <v>56.04</v>
      </c>
      <c r="V313" s="16">
        <v>133.97999999999999</v>
      </c>
      <c r="W313" s="19" t="s">
        <v>1193</v>
      </c>
      <c r="X313" s="19" t="s">
        <v>260</v>
      </c>
      <c r="Y313" s="12">
        <v>43177</v>
      </c>
      <c r="Z313" s="12">
        <v>43171</v>
      </c>
      <c r="AA313" s="12">
        <v>43177</v>
      </c>
    </row>
    <row r="314" spans="1:27" x14ac:dyDescent="0.25">
      <c r="A314">
        <v>310</v>
      </c>
      <c r="B314" s="19" t="s">
        <v>657</v>
      </c>
      <c r="C314" s="19" t="s">
        <v>254</v>
      </c>
      <c r="D314" s="19" t="s">
        <v>255</v>
      </c>
      <c r="E314" s="19" t="s">
        <v>256</v>
      </c>
      <c r="F314" s="19" t="s">
        <v>684</v>
      </c>
      <c r="G314" s="12">
        <v>43158</v>
      </c>
      <c r="H314" s="12">
        <v>43172</v>
      </c>
      <c r="I314">
        <v>6</v>
      </c>
      <c r="J314" s="12">
        <v>43164</v>
      </c>
      <c r="K314" t="b">
        <v>1</v>
      </c>
      <c r="L314" s="12"/>
      <c r="M314" t="b">
        <v>1</v>
      </c>
      <c r="N314">
        <v>1</v>
      </c>
      <c r="O314">
        <v>1</v>
      </c>
      <c r="P314" s="19" t="s">
        <v>685</v>
      </c>
      <c r="Q314" s="19" t="s">
        <v>259</v>
      </c>
      <c r="R314" s="19" t="s">
        <v>121</v>
      </c>
      <c r="S314" s="19" t="s">
        <v>121</v>
      </c>
      <c r="T314" s="16">
        <v>59.9</v>
      </c>
      <c r="U314" s="16">
        <v>11.73</v>
      </c>
      <c r="V314" s="16">
        <v>71.63</v>
      </c>
      <c r="W314" s="19" t="s">
        <v>1194</v>
      </c>
      <c r="X314" s="19" t="s">
        <v>260</v>
      </c>
      <c r="Y314" s="12">
        <v>43177</v>
      </c>
      <c r="Z314" s="12">
        <v>43171</v>
      </c>
      <c r="AA314" s="12">
        <v>43177</v>
      </c>
    </row>
    <row r="315" spans="1:27" x14ac:dyDescent="0.25">
      <c r="A315">
        <v>311</v>
      </c>
      <c r="B315" s="19" t="s">
        <v>657</v>
      </c>
      <c r="C315" s="19" t="s">
        <v>254</v>
      </c>
      <c r="D315" s="19" t="s">
        <v>261</v>
      </c>
      <c r="E315" s="19" t="s">
        <v>262</v>
      </c>
      <c r="F315" s="19" t="s">
        <v>1195</v>
      </c>
      <c r="G315" s="12">
        <v>43158</v>
      </c>
      <c r="H315" s="12">
        <v>43172</v>
      </c>
      <c r="I315">
        <v>6</v>
      </c>
      <c r="J315" s="12">
        <v>43164</v>
      </c>
      <c r="K315" t="b">
        <v>1</v>
      </c>
      <c r="L315" s="12">
        <v>43159</v>
      </c>
      <c r="M315" t="b">
        <v>1</v>
      </c>
      <c r="N315">
        <v>1</v>
      </c>
      <c r="O315">
        <v>1</v>
      </c>
      <c r="P315" s="19" t="s">
        <v>655</v>
      </c>
      <c r="Q315" s="19" t="s">
        <v>259</v>
      </c>
      <c r="R315" s="19" t="s">
        <v>122</v>
      </c>
      <c r="S315" s="19" t="s">
        <v>122</v>
      </c>
      <c r="T315" s="16">
        <v>55.9</v>
      </c>
      <c r="U315" s="16">
        <v>8.27</v>
      </c>
      <c r="V315" s="16">
        <v>64.17</v>
      </c>
      <c r="W315" s="19" t="s">
        <v>1190</v>
      </c>
      <c r="X315" s="19" t="s">
        <v>265</v>
      </c>
      <c r="Y315" s="12">
        <v>43177</v>
      </c>
      <c r="Z315" s="12">
        <v>43171</v>
      </c>
      <c r="AA315" s="12">
        <v>43177</v>
      </c>
    </row>
    <row r="316" spans="1:27" x14ac:dyDescent="0.25">
      <c r="A316">
        <v>312</v>
      </c>
      <c r="B316" s="19" t="s">
        <v>657</v>
      </c>
      <c r="C316" s="19" t="s">
        <v>254</v>
      </c>
      <c r="D316" s="19" t="s">
        <v>261</v>
      </c>
      <c r="E316" s="19" t="s">
        <v>262</v>
      </c>
      <c r="F316" s="19" t="s">
        <v>1196</v>
      </c>
      <c r="G316" s="12">
        <v>43159</v>
      </c>
      <c r="H316" s="12">
        <v>43172</v>
      </c>
      <c r="I316">
        <v>6</v>
      </c>
      <c r="J316" s="12">
        <v>43165</v>
      </c>
      <c r="K316" t="b">
        <v>1</v>
      </c>
      <c r="L316" s="12">
        <v>43164</v>
      </c>
      <c r="M316" t="b">
        <v>1</v>
      </c>
      <c r="N316">
        <v>1</v>
      </c>
      <c r="O316">
        <v>1</v>
      </c>
      <c r="P316" s="19" t="s">
        <v>489</v>
      </c>
      <c r="Q316" s="19" t="s">
        <v>259</v>
      </c>
      <c r="R316" s="19" t="s">
        <v>121</v>
      </c>
      <c r="S316" s="19" t="s">
        <v>121</v>
      </c>
      <c r="T316" s="16">
        <v>101.9</v>
      </c>
      <c r="U316" s="16">
        <v>13.27</v>
      </c>
      <c r="V316" s="16">
        <v>115.17</v>
      </c>
      <c r="W316" s="19" t="s">
        <v>1197</v>
      </c>
      <c r="X316" s="19" t="s">
        <v>265</v>
      </c>
      <c r="Y316" s="12">
        <v>43177</v>
      </c>
      <c r="Z316" s="12">
        <v>43171</v>
      </c>
      <c r="AA316" s="12">
        <v>43177</v>
      </c>
    </row>
    <row r="317" spans="1:27" x14ac:dyDescent="0.25">
      <c r="A317">
        <v>313</v>
      </c>
      <c r="B317" s="19" t="s">
        <v>657</v>
      </c>
      <c r="C317" s="19" t="s">
        <v>254</v>
      </c>
      <c r="D317" s="19" t="s">
        <v>261</v>
      </c>
      <c r="E317" s="19" t="s">
        <v>262</v>
      </c>
      <c r="F317" s="19" t="s">
        <v>1198</v>
      </c>
      <c r="G317" s="12">
        <v>43159</v>
      </c>
      <c r="H317" s="12">
        <v>43172</v>
      </c>
      <c r="I317">
        <v>6</v>
      </c>
      <c r="J317" s="12">
        <v>43165</v>
      </c>
      <c r="K317" t="b">
        <v>1</v>
      </c>
      <c r="L317" s="12">
        <v>43161</v>
      </c>
      <c r="M317" t="b">
        <v>1</v>
      </c>
      <c r="N317">
        <v>1</v>
      </c>
      <c r="O317">
        <v>1</v>
      </c>
      <c r="P317" s="19" t="s">
        <v>663</v>
      </c>
      <c r="Q317" s="19" t="s">
        <v>259</v>
      </c>
      <c r="R317" s="19" t="s">
        <v>121</v>
      </c>
      <c r="S317" s="19" t="s">
        <v>121</v>
      </c>
      <c r="T317" s="16">
        <v>29.99</v>
      </c>
      <c r="U317" s="16">
        <v>7.78</v>
      </c>
      <c r="V317" s="16">
        <v>37.770000000000003</v>
      </c>
      <c r="W317" s="19" t="s">
        <v>1199</v>
      </c>
      <c r="X317" s="19" t="s">
        <v>265</v>
      </c>
      <c r="Y317" s="12">
        <v>43177</v>
      </c>
      <c r="Z317" s="12">
        <v>43171</v>
      </c>
      <c r="AA317" s="12">
        <v>43177</v>
      </c>
    </row>
    <row r="318" spans="1:27" x14ac:dyDescent="0.25">
      <c r="A318">
        <v>314</v>
      </c>
      <c r="B318" s="19" t="s">
        <v>657</v>
      </c>
      <c r="C318" s="19" t="s">
        <v>254</v>
      </c>
      <c r="D318" s="19" t="s">
        <v>255</v>
      </c>
      <c r="E318" s="19" t="s">
        <v>256</v>
      </c>
      <c r="F318" s="19" t="s">
        <v>1200</v>
      </c>
      <c r="G318" s="12">
        <v>43143</v>
      </c>
      <c r="H318" s="12">
        <v>43172</v>
      </c>
      <c r="I318">
        <v>6</v>
      </c>
      <c r="J318" s="12"/>
      <c r="K318" t="b">
        <v>1</v>
      </c>
      <c r="L318" s="12"/>
      <c r="M318" t="b">
        <v>1</v>
      </c>
      <c r="N318">
        <v>0</v>
      </c>
      <c r="O318">
        <v>0</v>
      </c>
      <c r="P318" s="19" t="s">
        <v>172</v>
      </c>
      <c r="Q318" s="19" t="s">
        <v>285</v>
      </c>
      <c r="R318" s="19" t="s">
        <v>172</v>
      </c>
      <c r="S318" s="19" t="s">
        <v>135</v>
      </c>
      <c r="T318" s="16">
        <v>0</v>
      </c>
      <c r="U318" s="16">
        <v>0</v>
      </c>
      <c r="V318" s="16">
        <v>217.61</v>
      </c>
      <c r="W318" s="19" t="s">
        <v>172</v>
      </c>
      <c r="X318" s="19" t="s">
        <v>260</v>
      </c>
      <c r="Y318" s="12">
        <v>43177</v>
      </c>
      <c r="Z318" s="12">
        <v>43171</v>
      </c>
      <c r="AA318" s="12">
        <v>43177</v>
      </c>
    </row>
    <row r="319" spans="1:27" x14ac:dyDescent="0.25">
      <c r="A319">
        <v>315</v>
      </c>
      <c r="B319" s="19" t="s">
        <v>657</v>
      </c>
      <c r="C319" s="19" t="s">
        <v>254</v>
      </c>
      <c r="D319" s="19" t="s">
        <v>255</v>
      </c>
      <c r="E319" s="19" t="s">
        <v>256</v>
      </c>
      <c r="F319" s="19" t="s">
        <v>1201</v>
      </c>
      <c r="G319" s="12">
        <v>43145</v>
      </c>
      <c r="H319" s="12">
        <v>43172</v>
      </c>
      <c r="I319">
        <v>6</v>
      </c>
      <c r="J319" s="12"/>
      <c r="K319" t="b">
        <v>1</v>
      </c>
      <c r="L319" s="12"/>
      <c r="M319" t="b">
        <v>1</v>
      </c>
      <c r="N319">
        <v>0</v>
      </c>
      <c r="O319">
        <v>0</v>
      </c>
      <c r="P319" s="19" t="s">
        <v>172</v>
      </c>
      <c r="Q319" s="19" t="s">
        <v>285</v>
      </c>
      <c r="R319" s="19" t="s">
        <v>172</v>
      </c>
      <c r="S319" s="19" t="s">
        <v>122</v>
      </c>
      <c r="T319" s="16">
        <v>0</v>
      </c>
      <c r="U319" s="16">
        <v>0</v>
      </c>
      <c r="V319" s="16">
        <v>226.23</v>
      </c>
      <c r="W319" s="19" t="s">
        <v>172</v>
      </c>
      <c r="X319" s="19" t="s">
        <v>260</v>
      </c>
      <c r="Y319" s="12">
        <v>43177</v>
      </c>
      <c r="Z319" s="12">
        <v>43171</v>
      </c>
      <c r="AA319" s="12">
        <v>43177</v>
      </c>
    </row>
    <row r="320" spans="1:27" x14ac:dyDescent="0.25">
      <c r="A320">
        <v>316</v>
      </c>
      <c r="B320" s="19" t="s">
        <v>657</v>
      </c>
      <c r="C320" s="19" t="s">
        <v>254</v>
      </c>
      <c r="D320" s="19" t="s">
        <v>255</v>
      </c>
      <c r="E320" s="19" t="s">
        <v>256</v>
      </c>
      <c r="F320" s="19" t="s">
        <v>1202</v>
      </c>
      <c r="G320" s="12">
        <v>43147</v>
      </c>
      <c r="H320" s="12">
        <v>43172</v>
      </c>
      <c r="I320">
        <v>6</v>
      </c>
      <c r="J320" s="12"/>
      <c r="K320" t="b">
        <v>1</v>
      </c>
      <c r="L320" s="12"/>
      <c r="M320" t="b">
        <v>1</v>
      </c>
      <c r="N320">
        <v>0</v>
      </c>
      <c r="O320">
        <v>0</v>
      </c>
      <c r="P320" s="19" t="s">
        <v>172</v>
      </c>
      <c r="Q320" s="19" t="s">
        <v>285</v>
      </c>
      <c r="R320" s="19" t="s">
        <v>172</v>
      </c>
      <c r="S320" s="19" t="s">
        <v>121</v>
      </c>
      <c r="T320" s="16">
        <v>0</v>
      </c>
      <c r="U320" s="16">
        <v>0</v>
      </c>
      <c r="V320" s="16">
        <v>114.35</v>
      </c>
      <c r="W320" s="19" t="s">
        <v>172</v>
      </c>
      <c r="X320" s="19" t="s">
        <v>260</v>
      </c>
      <c r="Y320" s="12">
        <v>43177</v>
      </c>
      <c r="Z320" s="12">
        <v>43171</v>
      </c>
      <c r="AA320" s="12">
        <v>43177</v>
      </c>
    </row>
    <row r="321" spans="1:27" x14ac:dyDescent="0.25">
      <c r="A321">
        <v>317</v>
      </c>
      <c r="B321" s="19" t="s">
        <v>657</v>
      </c>
      <c r="C321" s="19" t="s">
        <v>254</v>
      </c>
      <c r="D321" s="19" t="s">
        <v>255</v>
      </c>
      <c r="E321" s="19" t="s">
        <v>256</v>
      </c>
      <c r="F321" s="19" t="s">
        <v>1203</v>
      </c>
      <c r="G321" s="12">
        <v>43159</v>
      </c>
      <c r="H321" s="12">
        <v>43172</v>
      </c>
      <c r="I321">
        <v>6</v>
      </c>
      <c r="J321" s="12"/>
      <c r="K321" t="b">
        <v>1</v>
      </c>
      <c r="L321" s="12"/>
      <c r="M321" t="b">
        <v>1</v>
      </c>
      <c r="N321">
        <v>0</v>
      </c>
      <c r="O321">
        <v>0</v>
      </c>
      <c r="P321" s="19" t="s">
        <v>172</v>
      </c>
      <c r="Q321" s="19" t="s">
        <v>285</v>
      </c>
      <c r="R321" s="19" t="s">
        <v>172</v>
      </c>
      <c r="S321" s="19" t="s">
        <v>121</v>
      </c>
      <c r="T321" s="16">
        <v>0</v>
      </c>
      <c r="U321" s="16">
        <v>0</v>
      </c>
      <c r="V321" s="16">
        <v>61.19</v>
      </c>
      <c r="W321" s="19" t="s">
        <v>172</v>
      </c>
      <c r="X321" s="19" t="s">
        <v>260</v>
      </c>
      <c r="Y321" s="12">
        <v>43177</v>
      </c>
      <c r="Z321" s="12">
        <v>43171</v>
      </c>
      <c r="AA321" s="12">
        <v>43177</v>
      </c>
    </row>
    <row r="322" spans="1:27" x14ac:dyDescent="0.25">
      <c r="A322">
        <v>318</v>
      </c>
      <c r="B322" s="19" t="s">
        <v>657</v>
      </c>
      <c r="C322" s="19" t="s">
        <v>254</v>
      </c>
      <c r="D322" s="19" t="s">
        <v>255</v>
      </c>
      <c r="E322" s="19" t="s">
        <v>256</v>
      </c>
      <c r="F322" s="19" t="s">
        <v>1204</v>
      </c>
      <c r="G322" s="12">
        <v>43146</v>
      </c>
      <c r="H322" s="12">
        <v>43172</v>
      </c>
      <c r="I322">
        <v>6</v>
      </c>
      <c r="J322" s="12"/>
      <c r="K322" t="b">
        <v>1</v>
      </c>
      <c r="L322" s="12"/>
      <c r="M322" t="b">
        <v>1</v>
      </c>
      <c r="N322">
        <v>0</v>
      </c>
      <c r="O322">
        <v>0</v>
      </c>
      <c r="P322" s="19" t="s">
        <v>172</v>
      </c>
      <c r="Q322" s="19" t="s">
        <v>285</v>
      </c>
      <c r="R322" s="19" t="s">
        <v>172</v>
      </c>
      <c r="S322" s="19" t="s">
        <v>160</v>
      </c>
      <c r="T322" s="16">
        <v>0</v>
      </c>
      <c r="U322" s="16">
        <v>0</v>
      </c>
      <c r="V322" s="16">
        <v>82.73</v>
      </c>
      <c r="W322" s="19" t="s">
        <v>172</v>
      </c>
      <c r="X322" s="19" t="s">
        <v>260</v>
      </c>
      <c r="Y322" s="12">
        <v>43177</v>
      </c>
      <c r="Z322" s="12">
        <v>43171</v>
      </c>
      <c r="AA322" s="12">
        <v>43177</v>
      </c>
    </row>
    <row r="323" spans="1:27" x14ac:dyDescent="0.25">
      <c r="A323">
        <v>319</v>
      </c>
      <c r="B323" s="19" t="s">
        <v>657</v>
      </c>
      <c r="C323" s="19" t="s">
        <v>254</v>
      </c>
      <c r="D323" s="19" t="s">
        <v>255</v>
      </c>
      <c r="E323" s="19" t="s">
        <v>256</v>
      </c>
      <c r="F323" s="19" t="s">
        <v>1205</v>
      </c>
      <c r="G323" s="12">
        <v>43152</v>
      </c>
      <c r="H323" s="12">
        <v>43172</v>
      </c>
      <c r="I323">
        <v>6</v>
      </c>
      <c r="J323" s="12"/>
      <c r="K323" t="b">
        <v>1</v>
      </c>
      <c r="L323" s="12"/>
      <c r="M323" t="b">
        <v>1</v>
      </c>
      <c r="N323">
        <v>0</v>
      </c>
      <c r="O323">
        <v>0</v>
      </c>
      <c r="P323" s="19" t="s">
        <v>172</v>
      </c>
      <c r="Q323" s="19" t="s">
        <v>285</v>
      </c>
      <c r="R323" s="19" t="s">
        <v>172</v>
      </c>
      <c r="S323" s="19" t="s">
        <v>121</v>
      </c>
      <c r="T323" s="16">
        <v>0</v>
      </c>
      <c r="U323" s="16">
        <v>0</v>
      </c>
      <c r="V323" s="16">
        <v>90.3</v>
      </c>
      <c r="W323" s="19" t="s">
        <v>172</v>
      </c>
      <c r="X323" s="19" t="s">
        <v>260</v>
      </c>
      <c r="Y323" s="12">
        <v>43177</v>
      </c>
      <c r="Z323" s="12">
        <v>43171</v>
      </c>
      <c r="AA323" s="12">
        <v>43177</v>
      </c>
    </row>
    <row r="324" spans="1:27" x14ac:dyDescent="0.25">
      <c r="A324">
        <v>320</v>
      </c>
      <c r="B324" s="19" t="s">
        <v>657</v>
      </c>
      <c r="C324" s="19" t="s">
        <v>254</v>
      </c>
      <c r="D324" s="19" t="s">
        <v>255</v>
      </c>
      <c r="E324" s="19" t="s">
        <v>256</v>
      </c>
      <c r="F324" s="19" t="s">
        <v>1206</v>
      </c>
      <c r="G324" s="12">
        <v>43122</v>
      </c>
      <c r="H324" s="12">
        <v>43173</v>
      </c>
      <c r="I324">
        <v>5</v>
      </c>
      <c r="J324" s="12">
        <v>43126</v>
      </c>
      <c r="K324" t="b">
        <v>1</v>
      </c>
      <c r="L324" s="12"/>
      <c r="M324" t="b">
        <v>1</v>
      </c>
      <c r="N324">
        <v>1</v>
      </c>
      <c r="O324">
        <v>1</v>
      </c>
      <c r="P324" s="19" t="s">
        <v>1207</v>
      </c>
      <c r="Q324" s="19" t="s">
        <v>259</v>
      </c>
      <c r="R324" s="19" t="s">
        <v>121</v>
      </c>
      <c r="S324" s="19" t="s">
        <v>912</v>
      </c>
      <c r="T324" s="16">
        <v>89.99</v>
      </c>
      <c r="U324" s="16">
        <v>25.66</v>
      </c>
      <c r="V324" s="16">
        <v>115.65</v>
      </c>
      <c r="W324" s="19" t="s">
        <v>1208</v>
      </c>
      <c r="X324" s="19" t="s">
        <v>260</v>
      </c>
      <c r="Y324" s="12">
        <v>43177</v>
      </c>
      <c r="Z324" s="12">
        <v>43171</v>
      </c>
      <c r="AA324" s="12">
        <v>43177</v>
      </c>
    </row>
    <row r="325" spans="1:27" x14ac:dyDescent="0.25">
      <c r="A325">
        <v>321</v>
      </c>
      <c r="B325" s="19" t="s">
        <v>657</v>
      </c>
      <c r="C325" s="19" t="s">
        <v>254</v>
      </c>
      <c r="D325" s="19" t="s">
        <v>261</v>
      </c>
      <c r="E325" s="19" t="s">
        <v>262</v>
      </c>
      <c r="F325" s="19" t="s">
        <v>1209</v>
      </c>
      <c r="G325" s="12">
        <v>43137</v>
      </c>
      <c r="H325" s="12">
        <v>43173</v>
      </c>
      <c r="I325">
        <v>5</v>
      </c>
      <c r="J325" s="12">
        <v>43143</v>
      </c>
      <c r="K325" t="b">
        <v>1</v>
      </c>
      <c r="L325" s="12">
        <v>43138</v>
      </c>
      <c r="M325" t="b">
        <v>1</v>
      </c>
      <c r="N325">
        <v>1</v>
      </c>
      <c r="O325">
        <v>1</v>
      </c>
      <c r="P325" s="19" t="s">
        <v>1210</v>
      </c>
      <c r="Q325" s="19" t="s">
        <v>259</v>
      </c>
      <c r="R325" s="19" t="s">
        <v>121</v>
      </c>
      <c r="S325" s="19" t="s">
        <v>152</v>
      </c>
      <c r="T325" s="16">
        <v>169.9</v>
      </c>
      <c r="U325" s="16">
        <v>26.47</v>
      </c>
      <c r="V325" s="16">
        <v>196.37</v>
      </c>
      <c r="W325" s="19" t="s">
        <v>1211</v>
      </c>
      <c r="X325" s="19" t="s">
        <v>265</v>
      </c>
      <c r="Y325" s="12">
        <v>43177</v>
      </c>
      <c r="Z325" s="12">
        <v>43171</v>
      </c>
      <c r="AA325" s="12">
        <v>43177</v>
      </c>
    </row>
    <row r="326" spans="1:27" x14ac:dyDescent="0.25">
      <c r="A326">
        <v>322</v>
      </c>
      <c r="B326" s="19" t="s">
        <v>657</v>
      </c>
      <c r="C326" s="19" t="s">
        <v>254</v>
      </c>
      <c r="D326" s="19" t="s">
        <v>261</v>
      </c>
      <c r="E326" s="19" t="s">
        <v>262</v>
      </c>
      <c r="F326" s="19" t="s">
        <v>1212</v>
      </c>
      <c r="G326" s="12">
        <v>43139</v>
      </c>
      <c r="H326" s="12">
        <v>43173</v>
      </c>
      <c r="I326">
        <v>5</v>
      </c>
      <c r="J326" s="12">
        <v>43145</v>
      </c>
      <c r="K326" t="b">
        <v>1</v>
      </c>
      <c r="L326" s="12">
        <v>43152</v>
      </c>
      <c r="M326" t="b">
        <v>1</v>
      </c>
      <c r="N326">
        <v>2</v>
      </c>
      <c r="O326">
        <v>1</v>
      </c>
      <c r="P326" s="19" t="s">
        <v>686</v>
      </c>
      <c r="Q326" s="19" t="s">
        <v>259</v>
      </c>
      <c r="R326" s="19" t="s">
        <v>135</v>
      </c>
      <c r="S326" s="19" t="s">
        <v>138</v>
      </c>
      <c r="T326" s="16">
        <v>149.80000000000001</v>
      </c>
      <c r="U326" s="16">
        <v>30.54</v>
      </c>
      <c r="V326" s="16">
        <v>180.34</v>
      </c>
      <c r="W326" s="19" t="s">
        <v>1213</v>
      </c>
      <c r="X326" s="19" t="s">
        <v>265</v>
      </c>
      <c r="Y326" s="12">
        <v>43177</v>
      </c>
      <c r="Z326" s="12">
        <v>43171</v>
      </c>
      <c r="AA326" s="12">
        <v>43177</v>
      </c>
    </row>
    <row r="327" spans="1:27" x14ac:dyDescent="0.25">
      <c r="A327">
        <v>323</v>
      </c>
      <c r="B327" s="19" t="s">
        <v>657</v>
      </c>
      <c r="C327" s="19" t="s">
        <v>254</v>
      </c>
      <c r="D327" s="19" t="s">
        <v>261</v>
      </c>
      <c r="E327" s="19" t="s">
        <v>262</v>
      </c>
      <c r="F327" s="19" t="s">
        <v>1214</v>
      </c>
      <c r="G327" s="12">
        <v>43142</v>
      </c>
      <c r="H327" s="12">
        <v>43173</v>
      </c>
      <c r="I327">
        <v>5</v>
      </c>
      <c r="J327" s="12">
        <v>43146</v>
      </c>
      <c r="K327" t="b">
        <v>1</v>
      </c>
      <c r="L327" s="12">
        <v>43146</v>
      </c>
      <c r="M327" t="b">
        <v>1</v>
      </c>
      <c r="N327">
        <v>2</v>
      </c>
      <c r="O327">
        <v>1</v>
      </c>
      <c r="P327" s="19" t="s">
        <v>314</v>
      </c>
      <c r="Q327" s="19" t="s">
        <v>259</v>
      </c>
      <c r="R327" s="19" t="s">
        <v>121</v>
      </c>
      <c r="S327" s="19" t="s">
        <v>138</v>
      </c>
      <c r="T327" s="16">
        <v>71.98</v>
      </c>
      <c r="U327" s="16">
        <v>32.22</v>
      </c>
      <c r="V327" s="16">
        <v>104.2</v>
      </c>
      <c r="W327" s="19" t="s">
        <v>1215</v>
      </c>
      <c r="X327" s="19" t="s">
        <v>265</v>
      </c>
      <c r="Y327" s="12">
        <v>43177</v>
      </c>
      <c r="Z327" s="12">
        <v>43171</v>
      </c>
      <c r="AA327" s="12">
        <v>43177</v>
      </c>
    </row>
    <row r="328" spans="1:27" x14ac:dyDescent="0.25">
      <c r="A328">
        <v>324</v>
      </c>
      <c r="B328" s="19" t="s">
        <v>657</v>
      </c>
      <c r="C328" s="19" t="s">
        <v>254</v>
      </c>
      <c r="D328" s="19" t="s">
        <v>261</v>
      </c>
      <c r="E328" s="19" t="s">
        <v>262</v>
      </c>
      <c r="F328" s="19" t="s">
        <v>1216</v>
      </c>
      <c r="G328" s="12">
        <v>43143</v>
      </c>
      <c r="H328" s="12">
        <v>43173</v>
      </c>
      <c r="I328">
        <v>5</v>
      </c>
      <c r="J328" s="12">
        <v>43147</v>
      </c>
      <c r="K328" t="b">
        <v>1</v>
      </c>
      <c r="L328" s="12">
        <v>43145</v>
      </c>
      <c r="M328" t="b">
        <v>1</v>
      </c>
      <c r="N328">
        <v>1</v>
      </c>
      <c r="O328">
        <v>1</v>
      </c>
      <c r="P328" s="19" t="s">
        <v>1217</v>
      </c>
      <c r="Q328" s="19" t="s">
        <v>259</v>
      </c>
      <c r="R328" s="19" t="s">
        <v>135</v>
      </c>
      <c r="S328" s="19" t="s">
        <v>122</v>
      </c>
      <c r="T328" s="16">
        <v>80.989999999999995</v>
      </c>
      <c r="U328" s="16">
        <v>18.14</v>
      </c>
      <c r="V328" s="16">
        <v>99.13</v>
      </c>
      <c r="W328" s="19" t="s">
        <v>1218</v>
      </c>
      <c r="X328" s="19" t="s">
        <v>265</v>
      </c>
      <c r="Y328" s="12">
        <v>43177</v>
      </c>
      <c r="Z328" s="12">
        <v>43171</v>
      </c>
      <c r="AA328" s="12">
        <v>43177</v>
      </c>
    </row>
    <row r="329" spans="1:27" x14ac:dyDescent="0.25">
      <c r="A329">
        <v>325</v>
      </c>
      <c r="B329" s="19" t="s">
        <v>657</v>
      </c>
      <c r="C329" s="19" t="s">
        <v>254</v>
      </c>
      <c r="D329" s="19" t="s">
        <v>255</v>
      </c>
      <c r="E329" s="19" t="s">
        <v>256</v>
      </c>
      <c r="F329" s="19" t="s">
        <v>687</v>
      </c>
      <c r="G329" s="12">
        <v>43144</v>
      </c>
      <c r="H329" s="12">
        <v>43173</v>
      </c>
      <c r="I329">
        <v>5</v>
      </c>
      <c r="J329" s="12">
        <v>43150</v>
      </c>
      <c r="K329" t="b">
        <v>1</v>
      </c>
      <c r="L329" s="12"/>
      <c r="M329" t="b">
        <v>1</v>
      </c>
      <c r="N329">
        <v>1</v>
      </c>
      <c r="O329">
        <v>1</v>
      </c>
      <c r="P329" s="19" t="s">
        <v>688</v>
      </c>
      <c r="Q329" s="19" t="s">
        <v>259</v>
      </c>
      <c r="R329" s="19" t="s">
        <v>121</v>
      </c>
      <c r="S329" s="19" t="s">
        <v>138</v>
      </c>
      <c r="T329" s="16">
        <v>35</v>
      </c>
      <c r="U329" s="16">
        <v>16.600000000000001</v>
      </c>
      <c r="V329" s="16">
        <v>51.6</v>
      </c>
      <c r="W329" s="19" t="s">
        <v>1219</v>
      </c>
      <c r="X329" s="19" t="s">
        <v>260</v>
      </c>
      <c r="Y329" s="12">
        <v>43177</v>
      </c>
      <c r="Z329" s="12">
        <v>43171</v>
      </c>
      <c r="AA329" s="12">
        <v>43177</v>
      </c>
    </row>
    <row r="330" spans="1:27" x14ac:dyDescent="0.25">
      <c r="A330">
        <v>326</v>
      </c>
      <c r="B330" s="19" t="s">
        <v>657</v>
      </c>
      <c r="C330" s="19" t="s">
        <v>254</v>
      </c>
      <c r="D330" s="19" t="s">
        <v>255</v>
      </c>
      <c r="E330" s="19" t="s">
        <v>256</v>
      </c>
      <c r="F330" s="19" t="s">
        <v>689</v>
      </c>
      <c r="G330" s="12">
        <v>43136</v>
      </c>
      <c r="H330" s="12">
        <v>43173</v>
      </c>
      <c r="I330">
        <v>5</v>
      </c>
      <c r="J330" s="12">
        <v>43150</v>
      </c>
      <c r="K330" t="b">
        <v>1</v>
      </c>
      <c r="L330" s="12"/>
      <c r="M330" t="b">
        <v>1</v>
      </c>
      <c r="N330">
        <v>1</v>
      </c>
      <c r="O330">
        <v>1</v>
      </c>
      <c r="P330" s="19" t="s">
        <v>439</v>
      </c>
      <c r="Q330" s="19" t="s">
        <v>259</v>
      </c>
      <c r="R330" s="19" t="s">
        <v>121</v>
      </c>
      <c r="S330" s="19" t="s">
        <v>146</v>
      </c>
      <c r="T330" s="16">
        <v>24.6</v>
      </c>
      <c r="U330" s="16">
        <v>16.11</v>
      </c>
      <c r="V330" s="16">
        <v>40.71</v>
      </c>
      <c r="W330" s="19" t="s">
        <v>1220</v>
      </c>
      <c r="X330" s="19" t="s">
        <v>260</v>
      </c>
      <c r="Y330" s="12">
        <v>43177</v>
      </c>
      <c r="Z330" s="12">
        <v>43171</v>
      </c>
      <c r="AA330" s="12">
        <v>43177</v>
      </c>
    </row>
    <row r="331" spans="1:27" x14ac:dyDescent="0.25">
      <c r="A331">
        <v>327</v>
      </c>
      <c r="B331" s="19" t="s">
        <v>657</v>
      </c>
      <c r="C331" s="19" t="s">
        <v>254</v>
      </c>
      <c r="D331" s="19" t="s">
        <v>261</v>
      </c>
      <c r="E331" s="19" t="s">
        <v>262</v>
      </c>
      <c r="F331" s="19" t="s">
        <v>1221</v>
      </c>
      <c r="G331" s="12">
        <v>43145</v>
      </c>
      <c r="H331" s="12">
        <v>43173</v>
      </c>
      <c r="I331">
        <v>5</v>
      </c>
      <c r="J331" s="12">
        <v>43151</v>
      </c>
      <c r="K331" t="b">
        <v>1</v>
      </c>
      <c r="L331" s="12">
        <v>43153</v>
      </c>
      <c r="M331" t="b">
        <v>1</v>
      </c>
      <c r="N331">
        <v>1</v>
      </c>
      <c r="O331">
        <v>1</v>
      </c>
      <c r="P331" s="19" t="s">
        <v>1222</v>
      </c>
      <c r="Q331" s="19" t="s">
        <v>259</v>
      </c>
      <c r="R331" s="19" t="s">
        <v>131</v>
      </c>
      <c r="S331" s="19" t="s">
        <v>135</v>
      </c>
      <c r="T331" s="16">
        <v>419</v>
      </c>
      <c r="U331" s="16">
        <v>37.450000000000003</v>
      </c>
      <c r="V331" s="16">
        <v>456.45</v>
      </c>
      <c r="W331" s="19" t="s">
        <v>1223</v>
      </c>
      <c r="X331" s="19" t="s">
        <v>265</v>
      </c>
      <c r="Y331" s="12">
        <v>43177</v>
      </c>
      <c r="Z331" s="12">
        <v>43171</v>
      </c>
      <c r="AA331" s="12">
        <v>43177</v>
      </c>
    </row>
    <row r="332" spans="1:27" x14ac:dyDescent="0.25">
      <c r="A332">
        <v>328</v>
      </c>
      <c r="B332" s="19" t="s">
        <v>657</v>
      </c>
      <c r="C332" s="19" t="s">
        <v>254</v>
      </c>
      <c r="D332" s="19" t="s">
        <v>261</v>
      </c>
      <c r="E332" s="19" t="s">
        <v>262</v>
      </c>
      <c r="F332" s="19" t="s">
        <v>1224</v>
      </c>
      <c r="G332" s="12">
        <v>43144</v>
      </c>
      <c r="H332" s="12">
        <v>43173</v>
      </c>
      <c r="I332">
        <v>5</v>
      </c>
      <c r="J332" s="12">
        <v>43151</v>
      </c>
      <c r="K332" t="b">
        <v>1</v>
      </c>
      <c r="L332" s="12">
        <v>43146</v>
      </c>
      <c r="M332" t="b">
        <v>1</v>
      </c>
      <c r="N332">
        <v>1</v>
      </c>
      <c r="O332">
        <v>1</v>
      </c>
      <c r="P332" s="19" t="s">
        <v>1225</v>
      </c>
      <c r="Q332" s="19" t="s">
        <v>259</v>
      </c>
      <c r="R332" s="19" t="s">
        <v>121</v>
      </c>
      <c r="S332" s="19" t="s">
        <v>129</v>
      </c>
      <c r="T332" s="16">
        <v>148.99</v>
      </c>
      <c r="U332" s="16">
        <v>17.48</v>
      </c>
      <c r="V332" s="16">
        <v>166.47</v>
      </c>
      <c r="W332" s="19" t="s">
        <v>1215</v>
      </c>
      <c r="X332" s="19" t="s">
        <v>265</v>
      </c>
      <c r="Y332" s="12">
        <v>43177</v>
      </c>
      <c r="Z332" s="12">
        <v>43171</v>
      </c>
      <c r="AA332" s="12">
        <v>43177</v>
      </c>
    </row>
    <row r="333" spans="1:27" x14ac:dyDescent="0.25">
      <c r="A333">
        <v>329</v>
      </c>
      <c r="B333" s="19" t="s">
        <v>657</v>
      </c>
      <c r="C333" s="19" t="s">
        <v>254</v>
      </c>
      <c r="D333" s="19" t="s">
        <v>261</v>
      </c>
      <c r="E333" s="19" t="s">
        <v>262</v>
      </c>
      <c r="F333" s="19" t="s">
        <v>1226</v>
      </c>
      <c r="G333" s="12">
        <v>43145</v>
      </c>
      <c r="H333" s="12">
        <v>43173</v>
      </c>
      <c r="I333">
        <v>5</v>
      </c>
      <c r="J333" s="12">
        <v>43151</v>
      </c>
      <c r="K333" t="b">
        <v>1</v>
      </c>
      <c r="L333" s="12">
        <v>43147</v>
      </c>
      <c r="M333" t="b">
        <v>1</v>
      </c>
      <c r="N333">
        <v>1</v>
      </c>
      <c r="O333">
        <v>1</v>
      </c>
      <c r="P333" s="19" t="s">
        <v>537</v>
      </c>
      <c r="Q333" s="19" t="s">
        <v>259</v>
      </c>
      <c r="R333" s="19" t="s">
        <v>121</v>
      </c>
      <c r="S333" s="19" t="s">
        <v>138</v>
      </c>
      <c r="T333" s="16">
        <v>104</v>
      </c>
      <c r="U333" s="16">
        <v>23.05</v>
      </c>
      <c r="V333" s="16">
        <v>127.05</v>
      </c>
      <c r="W333" s="19" t="s">
        <v>1227</v>
      </c>
      <c r="X333" s="19" t="s">
        <v>265</v>
      </c>
      <c r="Y333" s="12">
        <v>43177</v>
      </c>
      <c r="Z333" s="12">
        <v>43171</v>
      </c>
      <c r="AA333" s="12">
        <v>43177</v>
      </c>
    </row>
    <row r="334" spans="1:27" x14ac:dyDescent="0.25">
      <c r="A334">
        <v>330</v>
      </c>
      <c r="B334" s="19" t="s">
        <v>657</v>
      </c>
      <c r="C334" s="19" t="s">
        <v>254</v>
      </c>
      <c r="D334" s="19" t="s">
        <v>261</v>
      </c>
      <c r="E334" s="19" t="s">
        <v>262</v>
      </c>
      <c r="F334" s="19" t="s">
        <v>1228</v>
      </c>
      <c r="G334" s="12">
        <v>43145</v>
      </c>
      <c r="H334" s="12">
        <v>43173</v>
      </c>
      <c r="I334">
        <v>5</v>
      </c>
      <c r="J334" s="12">
        <v>43151</v>
      </c>
      <c r="K334" t="b">
        <v>1</v>
      </c>
      <c r="L334" s="12">
        <v>43147</v>
      </c>
      <c r="M334" t="b">
        <v>1</v>
      </c>
      <c r="N334">
        <v>1</v>
      </c>
      <c r="O334">
        <v>1</v>
      </c>
      <c r="P334" s="19" t="s">
        <v>606</v>
      </c>
      <c r="Q334" s="19" t="s">
        <v>259</v>
      </c>
      <c r="R334" s="19" t="s">
        <v>135</v>
      </c>
      <c r="S334" s="19" t="s">
        <v>122</v>
      </c>
      <c r="T334" s="16">
        <v>19.899999999999999</v>
      </c>
      <c r="U334" s="16">
        <v>16.79</v>
      </c>
      <c r="V334" s="16">
        <v>36.69</v>
      </c>
      <c r="W334" s="19" t="s">
        <v>1227</v>
      </c>
      <c r="X334" s="19" t="s">
        <v>265</v>
      </c>
      <c r="Y334" s="12">
        <v>43177</v>
      </c>
      <c r="Z334" s="12">
        <v>43171</v>
      </c>
      <c r="AA334" s="12">
        <v>43177</v>
      </c>
    </row>
    <row r="335" spans="1:27" x14ac:dyDescent="0.25">
      <c r="A335">
        <v>331</v>
      </c>
      <c r="B335" s="19" t="s">
        <v>657</v>
      </c>
      <c r="C335" s="19" t="s">
        <v>254</v>
      </c>
      <c r="D335" s="19" t="s">
        <v>261</v>
      </c>
      <c r="E335" s="19" t="s">
        <v>262</v>
      </c>
      <c r="F335" s="19" t="s">
        <v>1229</v>
      </c>
      <c r="G335" s="12">
        <v>43146</v>
      </c>
      <c r="H335" s="12">
        <v>43173</v>
      </c>
      <c r="I335">
        <v>5</v>
      </c>
      <c r="J335" s="12">
        <v>43152</v>
      </c>
      <c r="K335" t="b">
        <v>1</v>
      </c>
      <c r="L335" s="12">
        <v>43152</v>
      </c>
      <c r="M335" t="b">
        <v>1</v>
      </c>
      <c r="N335">
        <v>1</v>
      </c>
      <c r="O335">
        <v>1</v>
      </c>
      <c r="P335" s="19" t="s">
        <v>1230</v>
      </c>
      <c r="Q335" s="19" t="s">
        <v>259</v>
      </c>
      <c r="R335" s="19" t="s">
        <v>133</v>
      </c>
      <c r="S335" s="19" t="s">
        <v>152</v>
      </c>
      <c r="T335" s="16">
        <v>289.89999999999998</v>
      </c>
      <c r="U335" s="16">
        <v>35.83</v>
      </c>
      <c r="V335" s="16">
        <v>325.73</v>
      </c>
      <c r="W335" s="19" t="s">
        <v>1213</v>
      </c>
      <c r="X335" s="19" t="s">
        <v>265</v>
      </c>
      <c r="Y335" s="12">
        <v>43177</v>
      </c>
      <c r="Z335" s="12">
        <v>43171</v>
      </c>
      <c r="AA335" s="12">
        <v>43177</v>
      </c>
    </row>
    <row r="336" spans="1:27" x14ac:dyDescent="0.25">
      <c r="A336">
        <v>332</v>
      </c>
      <c r="B336" s="19" t="s">
        <v>657</v>
      </c>
      <c r="C336" s="19" t="s">
        <v>254</v>
      </c>
      <c r="D336" s="19" t="s">
        <v>261</v>
      </c>
      <c r="E336" s="19" t="s">
        <v>262</v>
      </c>
      <c r="F336" s="19" t="s">
        <v>1231</v>
      </c>
      <c r="G336" s="12">
        <v>43148</v>
      </c>
      <c r="H336" s="12">
        <v>43173</v>
      </c>
      <c r="I336">
        <v>5</v>
      </c>
      <c r="J336" s="12">
        <v>43152</v>
      </c>
      <c r="K336" t="b">
        <v>1</v>
      </c>
      <c r="L336" s="12">
        <v>43151</v>
      </c>
      <c r="M336" t="b">
        <v>1</v>
      </c>
      <c r="N336">
        <v>1</v>
      </c>
      <c r="O336">
        <v>1</v>
      </c>
      <c r="P336" s="19" t="s">
        <v>1232</v>
      </c>
      <c r="Q336" s="19" t="s">
        <v>259</v>
      </c>
      <c r="R336" s="19" t="s">
        <v>121</v>
      </c>
      <c r="S336" s="19" t="s">
        <v>164</v>
      </c>
      <c r="T336" s="16">
        <v>230</v>
      </c>
      <c r="U336" s="16">
        <v>26.45</v>
      </c>
      <c r="V336" s="16">
        <v>256.45</v>
      </c>
      <c r="W336" s="19" t="s">
        <v>1233</v>
      </c>
      <c r="X336" s="19" t="s">
        <v>265</v>
      </c>
      <c r="Y336" s="12">
        <v>43177</v>
      </c>
      <c r="Z336" s="12">
        <v>43171</v>
      </c>
      <c r="AA336" s="12">
        <v>43177</v>
      </c>
    </row>
    <row r="337" spans="1:27" x14ac:dyDescent="0.25">
      <c r="A337">
        <v>333</v>
      </c>
      <c r="B337" s="19" t="s">
        <v>657</v>
      </c>
      <c r="C337" s="19" t="s">
        <v>254</v>
      </c>
      <c r="D337" s="19" t="s">
        <v>261</v>
      </c>
      <c r="E337" s="19" t="s">
        <v>262</v>
      </c>
      <c r="F337" s="19" t="s">
        <v>1234</v>
      </c>
      <c r="G337" s="12">
        <v>43142</v>
      </c>
      <c r="H337" s="12">
        <v>43173</v>
      </c>
      <c r="I337">
        <v>5</v>
      </c>
      <c r="J337" s="12">
        <v>43152</v>
      </c>
      <c r="K337" t="b">
        <v>1</v>
      </c>
      <c r="L337" s="12">
        <v>43147</v>
      </c>
      <c r="M337" t="b">
        <v>1</v>
      </c>
      <c r="N337">
        <v>1</v>
      </c>
      <c r="O337">
        <v>1</v>
      </c>
      <c r="P337" s="19" t="s">
        <v>642</v>
      </c>
      <c r="Q337" s="19" t="s">
        <v>259</v>
      </c>
      <c r="R337" s="19" t="s">
        <v>121</v>
      </c>
      <c r="S337" s="19" t="s">
        <v>138</v>
      </c>
      <c r="T337" s="16">
        <v>56.99</v>
      </c>
      <c r="U337" s="16">
        <v>16.16</v>
      </c>
      <c r="V337" s="16">
        <v>73.150000000000006</v>
      </c>
      <c r="W337" s="19" t="s">
        <v>1227</v>
      </c>
      <c r="X337" s="19" t="s">
        <v>265</v>
      </c>
      <c r="Y337" s="12">
        <v>43177</v>
      </c>
      <c r="Z337" s="12">
        <v>43171</v>
      </c>
      <c r="AA337" s="12">
        <v>43177</v>
      </c>
    </row>
    <row r="338" spans="1:27" x14ac:dyDescent="0.25">
      <c r="A338">
        <v>334</v>
      </c>
      <c r="B338" s="19" t="s">
        <v>657</v>
      </c>
      <c r="C338" s="19" t="s">
        <v>254</v>
      </c>
      <c r="D338" s="19" t="s">
        <v>261</v>
      </c>
      <c r="E338" s="19" t="s">
        <v>262</v>
      </c>
      <c r="F338" s="19" t="s">
        <v>1235</v>
      </c>
      <c r="G338" s="12">
        <v>43149</v>
      </c>
      <c r="H338" s="12">
        <v>43173</v>
      </c>
      <c r="I338">
        <v>5</v>
      </c>
      <c r="J338" s="12">
        <v>43153</v>
      </c>
      <c r="K338" t="b">
        <v>1</v>
      </c>
      <c r="L338" s="12">
        <v>43151</v>
      </c>
      <c r="M338" t="b">
        <v>1</v>
      </c>
      <c r="N338">
        <v>1</v>
      </c>
      <c r="O338">
        <v>1</v>
      </c>
      <c r="P338" s="19" t="s">
        <v>1236</v>
      </c>
      <c r="Q338" s="19" t="s">
        <v>259</v>
      </c>
      <c r="R338" s="19" t="s">
        <v>121</v>
      </c>
      <c r="S338" s="19" t="s">
        <v>122</v>
      </c>
      <c r="T338" s="16">
        <v>349</v>
      </c>
      <c r="U338" s="16">
        <v>18.2</v>
      </c>
      <c r="V338" s="16">
        <v>367.2</v>
      </c>
      <c r="W338" s="19" t="s">
        <v>1233</v>
      </c>
      <c r="X338" s="19" t="s">
        <v>265</v>
      </c>
      <c r="Y338" s="12">
        <v>43177</v>
      </c>
      <c r="Z338" s="12">
        <v>43171</v>
      </c>
      <c r="AA338" s="12">
        <v>43177</v>
      </c>
    </row>
    <row r="339" spans="1:27" x14ac:dyDescent="0.25">
      <c r="A339">
        <v>335</v>
      </c>
      <c r="B339" s="19" t="s">
        <v>657</v>
      </c>
      <c r="C339" s="19" t="s">
        <v>254</v>
      </c>
      <c r="D339" s="19" t="s">
        <v>261</v>
      </c>
      <c r="E339" s="19" t="s">
        <v>262</v>
      </c>
      <c r="F339" s="19" t="s">
        <v>1237</v>
      </c>
      <c r="G339" s="12">
        <v>43147</v>
      </c>
      <c r="H339" s="12">
        <v>43173</v>
      </c>
      <c r="I339">
        <v>5</v>
      </c>
      <c r="J339" s="12">
        <v>43153</v>
      </c>
      <c r="K339" t="b">
        <v>1</v>
      </c>
      <c r="L339" s="12">
        <v>43150</v>
      </c>
      <c r="M339" t="b">
        <v>1</v>
      </c>
      <c r="N339">
        <v>1</v>
      </c>
      <c r="O339">
        <v>1</v>
      </c>
      <c r="P339" s="19" t="s">
        <v>1238</v>
      </c>
      <c r="Q339" s="19" t="s">
        <v>259</v>
      </c>
      <c r="R339" s="19" t="s">
        <v>122</v>
      </c>
      <c r="S339" s="19" t="s">
        <v>138</v>
      </c>
      <c r="T339" s="16">
        <v>117.9</v>
      </c>
      <c r="U339" s="16">
        <v>16.27</v>
      </c>
      <c r="V339" s="16">
        <v>134.16999999999999</v>
      </c>
      <c r="W339" s="19" t="s">
        <v>1239</v>
      </c>
      <c r="X339" s="19" t="s">
        <v>265</v>
      </c>
      <c r="Y339" s="12">
        <v>43177</v>
      </c>
      <c r="Z339" s="12">
        <v>43171</v>
      </c>
      <c r="AA339" s="12">
        <v>43177</v>
      </c>
    </row>
    <row r="340" spans="1:27" x14ac:dyDescent="0.25">
      <c r="A340">
        <v>336</v>
      </c>
      <c r="B340" s="19" t="s">
        <v>657</v>
      </c>
      <c r="C340" s="19" t="s">
        <v>254</v>
      </c>
      <c r="D340" s="19" t="s">
        <v>255</v>
      </c>
      <c r="E340" s="19" t="s">
        <v>256</v>
      </c>
      <c r="F340" s="19" t="s">
        <v>690</v>
      </c>
      <c r="G340" s="12">
        <v>43147</v>
      </c>
      <c r="H340" s="12">
        <v>43173</v>
      </c>
      <c r="I340">
        <v>5</v>
      </c>
      <c r="J340" s="12">
        <v>43153</v>
      </c>
      <c r="K340" t="b">
        <v>1</v>
      </c>
      <c r="L340" s="12"/>
      <c r="M340" t="b">
        <v>1</v>
      </c>
      <c r="N340">
        <v>1</v>
      </c>
      <c r="O340">
        <v>1</v>
      </c>
      <c r="P340" s="19" t="s">
        <v>388</v>
      </c>
      <c r="Q340" s="19" t="s">
        <v>259</v>
      </c>
      <c r="R340" s="19" t="s">
        <v>121</v>
      </c>
      <c r="S340" s="19" t="s">
        <v>131</v>
      </c>
      <c r="T340" s="16">
        <v>108.99</v>
      </c>
      <c r="U340" s="16">
        <v>15.51</v>
      </c>
      <c r="V340" s="16">
        <v>124.5</v>
      </c>
      <c r="W340" s="19" t="s">
        <v>1240</v>
      </c>
      <c r="X340" s="19" t="s">
        <v>260</v>
      </c>
      <c r="Y340" s="12">
        <v>43177</v>
      </c>
      <c r="Z340" s="12">
        <v>43171</v>
      </c>
      <c r="AA340" s="12">
        <v>43177</v>
      </c>
    </row>
    <row r="341" spans="1:27" x14ac:dyDescent="0.25">
      <c r="A341">
        <v>337</v>
      </c>
      <c r="B341" s="19" t="s">
        <v>657</v>
      </c>
      <c r="C341" s="19" t="s">
        <v>254</v>
      </c>
      <c r="D341" s="19" t="s">
        <v>255</v>
      </c>
      <c r="E341" s="19" t="s">
        <v>256</v>
      </c>
      <c r="F341" s="19" t="s">
        <v>691</v>
      </c>
      <c r="G341" s="12">
        <v>43149</v>
      </c>
      <c r="H341" s="12">
        <v>43173</v>
      </c>
      <c r="I341">
        <v>5</v>
      </c>
      <c r="J341" s="12">
        <v>43153</v>
      </c>
      <c r="K341" t="b">
        <v>1</v>
      </c>
      <c r="L341" s="12"/>
      <c r="M341" t="b">
        <v>1</v>
      </c>
      <c r="N341">
        <v>1</v>
      </c>
      <c r="O341">
        <v>1</v>
      </c>
      <c r="P341" s="19" t="s">
        <v>637</v>
      </c>
      <c r="Q341" s="19" t="s">
        <v>259</v>
      </c>
      <c r="R341" s="19" t="s">
        <v>121</v>
      </c>
      <c r="S341" s="19" t="s">
        <v>131</v>
      </c>
      <c r="T341" s="16">
        <v>87.9</v>
      </c>
      <c r="U341" s="16">
        <v>15.37</v>
      </c>
      <c r="V341" s="16">
        <v>103.27</v>
      </c>
      <c r="W341" s="19" t="s">
        <v>1241</v>
      </c>
      <c r="X341" s="19" t="s">
        <v>260</v>
      </c>
      <c r="Y341" s="12">
        <v>43177</v>
      </c>
      <c r="Z341" s="12">
        <v>43171</v>
      </c>
      <c r="AA341" s="12">
        <v>43177</v>
      </c>
    </row>
    <row r="342" spans="1:27" x14ac:dyDescent="0.25">
      <c r="A342">
        <v>338</v>
      </c>
      <c r="B342" s="19" t="s">
        <v>657</v>
      </c>
      <c r="C342" s="19" t="s">
        <v>254</v>
      </c>
      <c r="D342" s="19" t="s">
        <v>261</v>
      </c>
      <c r="E342" s="19" t="s">
        <v>262</v>
      </c>
      <c r="F342" s="19" t="s">
        <v>1242</v>
      </c>
      <c r="G342" s="12">
        <v>43148</v>
      </c>
      <c r="H342" s="12">
        <v>43173</v>
      </c>
      <c r="I342">
        <v>5</v>
      </c>
      <c r="J342" s="12">
        <v>43153</v>
      </c>
      <c r="K342" t="b">
        <v>1</v>
      </c>
      <c r="L342" s="12">
        <v>43161</v>
      </c>
      <c r="M342" t="b">
        <v>1</v>
      </c>
      <c r="N342">
        <v>1</v>
      </c>
      <c r="O342">
        <v>1</v>
      </c>
      <c r="P342" s="19" t="s">
        <v>497</v>
      </c>
      <c r="Q342" s="19" t="s">
        <v>259</v>
      </c>
      <c r="R342" s="19" t="s">
        <v>121</v>
      </c>
      <c r="S342" s="19" t="s">
        <v>122</v>
      </c>
      <c r="T342" s="16">
        <v>79.989999999999995</v>
      </c>
      <c r="U342" s="16">
        <v>17.809999999999999</v>
      </c>
      <c r="V342" s="16">
        <v>97.8</v>
      </c>
      <c r="W342" s="19" t="s">
        <v>1243</v>
      </c>
      <c r="X342" s="19" t="s">
        <v>265</v>
      </c>
      <c r="Y342" s="12">
        <v>43177</v>
      </c>
      <c r="Z342" s="12">
        <v>43171</v>
      </c>
      <c r="AA342" s="12">
        <v>43177</v>
      </c>
    </row>
    <row r="343" spans="1:27" x14ac:dyDescent="0.25">
      <c r="A343">
        <v>339</v>
      </c>
      <c r="B343" s="19" t="s">
        <v>657</v>
      </c>
      <c r="C343" s="19" t="s">
        <v>254</v>
      </c>
      <c r="D343" s="19" t="s">
        <v>261</v>
      </c>
      <c r="E343" s="19" t="s">
        <v>262</v>
      </c>
      <c r="F343" s="19" t="s">
        <v>692</v>
      </c>
      <c r="G343" s="12">
        <v>43147</v>
      </c>
      <c r="H343" s="12">
        <v>43173</v>
      </c>
      <c r="I343">
        <v>5</v>
      </c>
      <c r="J343" s="12">
        <v>43153</v>
      </c>
      <c r="K343" t="b">
        <v>1</v>
      </c>
      <c r="L343" s="12">
        <v>43172</v>
      </c>
      <c r="M343" t="b">
        <v>1</v>
      </c>
      <c r="N343">
        <v>1</v>
      </c>
      <c r="O343">
        <v>1</v>
      </c>
      <c r="P343" s="19" t="s">
        <v>693</v>
      </c>
      <c r="Q343" s="19" t="s">
        <v>259</v>
      </c>
      <c r="R343" s="19" t="s">
        <v>127</v>
      </c>
      <c r="S343" s="19" t="s">
        <v>122</v>
      </c>
      <c r="T343" s="16">
        <v>45.22</v>
      </c>
      <c r="U343" s="16">
        <v>18.89</v>
      </c>
      <c r="V343" s="16">
        <v>64.11</v>
      </c>
      <c r="W343" s="19" t="s">
        <v>1244</v>
      </c>
      <c r="X343" s="19" t="s">
        <v>265</v>
      </c>
      <c r="Y343" s="12">
        <v>43177</v>
      </c>
      <c r="Z343" s="12">
        <v>43171</v>
      </c>
      <c r="AA343" s="12">
        <v>43177</v>
      </c>
    </row>
    <row r="344" spans="1:27" x14ac:dyDescent="0.25">
      <c r="A344">
        <v>340</v>
      </c>
      <c r="B344" s="19" t="s">
        <v>657</v>
      </c>
      <c r="C344" s="19" t="s">
        <v>254</v>
      </c>
      <c r="D344" s="19" t="s">
        <v>261</v>
      </c>
      <c r="E344" s="19" t="s">
        <v>262</v>
      </c>
      <c r="F344" s="19" t="s">
        <v>1245</v>
      </c>
      <c r="G344" s="12">
        <v>43148</v>
      </c>
      <c r="H344" s="12">
        <v>43173</v>
      </c>
      <c r="I344">
        <v>5</v>
      </c>
      <c r="J344" s="12">
        <v>43153</v>
      </c>
      <c r="K344" t="b">
        <v>1</v>
      </c>
      <c r="L344" s="12">
        <v>43153</v>
      </c>
      <c r="M344" t="b">
        <v>1</v>
      </c>
      <c r="N344">
        <v>1</v>
      </c>
      <c r="O344">
        <v>1</v>
      </c>
      <c r="P344" s="19" t="s">
        <v>1246</v>
      </c>
      <c r="Q344" s="19" t="s">
        <v>259</v>
      </c>
      <c r="R344" s="19" t="s">
        <v>121</v>
      </c>
      <c r="S344" s="19" t="s">
        <v>122</v>
      </c>
      <c r="T344" s="16">
        <v>25</v>
      </c>
      <c r="U344" s="16">
        <v>15.1</v>
      </c>
      <c r="V344" s="16">
        <v>40.1</v>
      </c>
      <c r="W344" s="19" t="s">
        <v>1223</v>
      </c>
      <c r="X344" s="19" t="s">
        <v>265</v>
      </c>
      <c r="Y344" s="12">
        <v>43177</v>
      </c>
      <c r="Z344" s="12">
        <v>43171</v>
      </c>
      <c r="AA344" s="12">
        <v>43177</v>
      </c>
    </row>
    <row r="345" spans="1:27" x14ac:dyDescent="0.25">
      <c r="A345">
        <v>341</v>
      </c>
      <c r="B345" s="19" t="s">
        <v>657</v>
      </c>
      <c r="C345" s="19" t="s">
        <v>254</v>
      </c>
      <c r="D345" s="19" t="s">
        <v>261</v>
      </c>
      <c r="E345" s="19" t="s">
        <v>262</v>
      </c>
      <c r="F345" s="19" t="s">
        <v>1247</v>
      </c>
      <c r="G345" s="12">
        <v>43148</v>
      </c>
      <c r="H345" s="12">
        <v>43173</v>
      </c>
      <c r="I345">
        <v>5</v>
      </c>
      <c r="J345" s="12">
        <v>43153</v>
      </c>
      <c r="K345" t="b">
        <v>1</v>
      </c>
      <c r="L345" s="12">
        <v>43151</v>
      </c>
      <c r="M345" t="b">
        <v>1</v>
      </c>
      <c r="N345">
        <v>1</v>
      </c>
      <c r="O345">
        <v>1</v>
      </c>
      <c r="P345" s="19" t="s">
        <v>661</v>
      </c>
      <c r="Q345" s="19" t="s">
        <v>259</v>
      </c>
      <c r="R345" s="19" t="s">
        <v>121</v>
      </c>
      <c r="S345" s="19" t="s">
        <v>133</v>
      </c>
      <c r="T345" s="16">
        <v>19.899999999999999</v>
      </c>
      <c r="U345" s="16">
        <v>15.1</v>
      </c>
      <c r="V345" s="16">
        <v>35</v>
      </c>
      <c r="W345" s="19" t="s">
        <v>1233</v>
      </c>
      <c r="X345" s="19" t="s">
        <v>265</v>
      </c>
      <c r="Y345" s="12">
        <v>43177</v>
      </c>
      <c r="Z345" s="12">
        <v>43171</v>
      </c>
      <c r="AA345" s="12">
        <v>43177</v>
      </c>
    </row>
    <row r="346" spans="1:27" x14ac:dyDescent="0.25">
      <c r="A346">
        <v>342</v>
      </c>
      <c r="B346" s="19" t="s">
        <v>657</v>
      </c>
      <c r="C346" s="19" t="s">
        <v>254</v>
      </c>
      <c r="D346" s="19" t="s">
        <v>261</v>
      </c>
      <c r="E346" s="19" t="s">
        <v>262</v>
      </c>
      <c r="F346" s="19" t="s">
        <v>1248</v>
      </c>
      <c r="G346" s="12">
        <v>43149</v>
      </c>
      <c r="H346" s="12">
        <v>43173</v>
      </c>
      <c r="I346">
        <v>5</v>
      </c>
      <c r="J346" s="12">
        <v>43153</v>
      </c>
      <c r="K346" t="b">
        <v>1</v>
      </c>
      <c r="L346" s="12">
        <v>43161</v>
      </c>
      <c r="M346" t="b">
        <v>1</v>
      </c>
      <c r="N346">
        <v>1</v>
      </c>
      <c r="O346">
        <v>1</v>
      </c>
      <c r="P346" s="19" t="s">
        <v>497</v>
      </c>
      <c r="Q346" s="19" t="s">
        <v>259</v>
      </c>
      <c r="R346" s="19" t="s">
        <v>121</v>
      </c>
      <c r="S346" s="19" t="s">
        <v>127</v>
      </c>
      <c r="T346" s="16">
        <v>10.99</v>
      </c>
      <c r="U346" s="16">
        <v>15.1</v>
      </c>
      <c r="V346" s="16">
        <v>26.09</v>
      </c>
      <c r="W346" s="19" t="s">
        <v>1243</v>
      </c>
      <c r="X346" s="19" t="s">
        <v>265</v>
      </c>
      <c r="Y346" s="12">
        <v>43177</v>
      </c>
      <c r="Z346" s="12">
        <v>43171</v>
      </c>
      <c r="AA346" s="12">
        <v>43177</v>
      </c>
    </row>
    <row r="347" spans="1:27" x14ac:dyDescent="0.25">
      <c r="A347">
        <v>343</v>
      </c>
      <c r="B347" s="19" t="s">
        <v>657</v>
      </c>
      <c r="C347" s="19" t="s">
        <v>254</v>
      </c>
      <c r="D347" s="19" t="s">
        <v>261</v>
      </c>
      <c r="E347" s="19" t="s">
        <v>262</v>
      </c>
      <c r="F347" s="19" t="s">
        <v>1249</v>
      </c>
      <c r="G347" s="12">
        <v>43150</v>
      </c>
      <c r="H347" s="12">
        <v>43173</v>
      </c>
      <c r="I347">
        <v>5</v>
      </c>
      <c r="J347" s="12">
        <v>43154</v>
      </c>
      <c r="K347" t="b">
        <v>1</v>
      </c>
      <c r="L347" s="12">
        <v>43151</v>
      </c>
      <c r="M347" t="b">
        <v>1</v>
      </c>
      <c r="N347">
        <v>1</v>
      </c>
      <c r="O347">
        <v>1</v>
      </c>
      <c r="P347" s="19" t="s">
        <v>1250</v>
      </c>
      <c r="Q347" s="19" t="s">
        <v>259</v>
      </c>
      <c r="R347" s="19" t="s">
        <v>121</v>
      </c>
      <c r="S347" s="19" t="s">
        <v>122</v>
      </c>
      <c r="T347" s="16">
        <v>399.9</v>
      </c>
      <c r="U347" s="16">
        <v>173.43</v>
      </c>
      <c r="V347" s="16">
        <v>573.33000000000004</v>
      </c>
      <c r="W347" s="19" t="s">
        <v>1233</v>
      </c>
      <c r="X347" s="19" t="s">
        <v>265</v>
      </c>
      <c r="Y347" s="12">
        <v>43177</v>
      </c>
      <c r="Z347" s="12">
        <v>43171</v>
      </c>
      <c r="AA347" s="12">
        <v>43177</v>
      </c>
    </row>
    <row r="348" spans="1:27" x14ac:dyDescent="0.25">
      <c r="A348">
        <v>344</v>
      </c>
      <c r="B348" s="19" t="s">
        <v>657</v>
      </c>
      <c r="C348" s="19" t="s">
        <v>254</v>
      </c>
      <c r="D348" s="19" t="s">
        <v>261</v>
      </c>
      <c r="E348" s="19" t="s">
        <v>262</v>
      </c>
      <c r="F348" s="19" t="s">
        <v>1251</v>
      </c>
      <c r="G348" s="12">
        <v>43150</v>
      </c>
      <c r="H348" s="12">
        <v>43173</v>
      </c>
      <c r="I348">
        <v>5</v>
      </c>
      <c r="J348" s="12">
        <v>43154</v>
      </c>
      <c r="K348" t="b">
        <v>1</v>
      </c>
      <c r="L348" s="12">
        <v>43153</v>
      </c>
      <c r="M348" t="b">
        <v>1</v>
      </c>
      <c r="N348">
        <v>1</v>
      </c>
      <c r="O348">
        <v>1</v>
      </c>
      <c r="P348" s="19" t="s">
        <v>694</v>
      </c>
      <c r="Q348" s="19" t="s">
        <v>259</v>
      </c>
      <c r="R348" s="19" t="s">
        <v>125</v>
      </c>
      <c r="S348" s="19" t="s">
        <v>121</v>
      </c>
      <c r="T348" s="16">
        <v>84.44</v>
      </c>
      <c r="U348" s="16">
        <v>17.84</v>
      </c>
      <c r="V348" s="16">
        <v>102.28</v>
      </c>
      <c r="W348" s="19" t="s">
        <v>1223</v>
      </c>
      <c r="X348" s="19" t="s">
        <v>265</v>
      </c>
      <c r="Y348" s="12">
        <v>43177</v>
      </c>
      <c r="Z348" s="12">
        <v>43171</v>
      </c>
      <c r="AA348" s="12">
        <v>43177</v>
      </c>
    </row>
    <row r="349" spans="1:27" x14ac:dyDescent="0.25">
      <c r="A349">
        <v>345</v>
      </c>
      <c r="B349" s="19" t="s">
        <v>657</v>
      </c>
      <c r="C349" s="19" t="s">
        <v>254</v>
      </c>
      <c r="D349" s="19" t="s">
        <v>261</v>
      </c>
      <c r="E349" s="19" t="s">
        <v>262</v>
      </c>
      <c r="F349" s="19" t="s">
        <v>1252</v>
      </c>
      <c r="G349" s="12">
        <v>43150</v>
      </c>
      <c r="H349" s="12">
        <v>43173</v>
      </c>
      <c r="I349">
        <v>5</v>
      </c>
      <c r="J349" s="12">
        <v>43154</v>
      </c>
      <c r="K349" t="b">
        <v>1</v>
      </c>
      <c r="L349" s="12">
        <v>43153</v>
      </c>
      <c r="M349" t="b">
        <v>1</v>
      </c>
      <c r="N349">
        <v>1</v>
      </c>
      <c r="O349">
        <v>1</v>
      </c>
      <c r="P349" s="19" t="s">
        <v>361</v>
      </c>
      <c r="Q349" s="19" t="s">
        <v>259</v>
      </c>
      <c r="R349" s="19" t="s">
        <v>135</v>
      </c>
      <c r="S349" s="19" t="s">
        <v>122</v>
      </c>
      <c r="T349" s="16">
        <v>68.900000000000006</v>
      </c>
      <c r="U349" s="16">
        <v>16.920000000000002</v>
      </c>
      <c r="V349" s="16">
        <v>85.82</v>
      </c>
      <c r="W349" s="19" t="s">
        <v>1223</v>
      </c>
      <c r="X349" s="19" t="s">
        <v>265</v>
      </c>
      <c r="Y349" s="12">
        <v>43177</v>
      </c>
      <c r="Z349" s="12">
        <v>43171</v>
      </c>
      <c r="AA349" s="12">
        <v>43177</v>
      </c>
    </row>
    <row r="350" spans="1:27" x14ac:dyDescent="0.25">
      <c r="A350">
        <v>346</v>
      </c>
      <c r="B350" s="19" t="s">
        <v>657</v>
      </c>
      <c r="C350" s="19" t="s">
        <v>254</v>
      </c>
      <c r="D350" s="19" t="s">
        <v>255</v>
      </c>
      <c r="E350" s="19" t="s">
        <v>256</v>
      </c>
      <c r="F350" s="19" t="s">
        <v>695</v>
      </c>
      <c r="G350" s="12">
        <v>43146</v>
      </c>
      <c r="H350" s="12">
        <v>43173</v>
      </c>
      <c r="I350">
        <v>5</v>
      </c>
      <c r="J350" s="12">
        <v>43154</v>
      </c>
      <c r="K350" t="b">
        <v>1</v>
      </c>
      <c r="L350" s="12"/>
      <c r="M350" t="b">
        <v>1</v>
      </c>
      <c r="N350">
        <v>1</v>
      </c>
      <c r="O350">
        <v>1</v>
      </c>
      <c r="P350" s="19" t="s">
        <v>348</v>
      </c>
      <c r="Q350" s="19" t="s">
        <v>259</v>
      </c>
      <c r="R350" s="19" t="s">
        <v>121</v>
      </c>
      <c r="S350" s="19" t="s">
        <v>152</v>
      </c>
      <c r="T350" s="16">
        <v>23.75</v>
      </c>
      <c r="U350" s="16">
        <v>17.63</v>
      </c>
      <c r="V350" s="16">
        <v>41.38</v>
      </c>
      <c r="W350" s="19" t="s">
        <v>1253</v>
      </c>
      <c r="X350" s="19" t="s">
        <v>260</v>
      </c>
      <c r="Y350" s="12">
        <v>43177</v>
      </c>
      <c r="Z350" s="12">
        <v>43171</v>
      </c>
      <c r="AA350" s="12">
        <v>43177</v>
      </c>
    </row>
    <row r="351" spans="1:27" x14ac:dyDescent="0.25">
      <c r="A351">
        <v>347</v>
      </c>
      <c r="B351" s="19" t="s">
        <v>657</v>
      </c>
      <c r="C351" s="19" t="s">
        <v>254</v>
      </c>
      <c r="D351" s="19" t="s">
        <v>261</v>
      </c>
      <c r="E351" s="19" t="s">
        <v>262</v>
      </c>
      <c r="F351" s="19" t="s">
        <v>1254</v>
      </c>
      <c r="G351" s="12">
        <v>43150</v>
      </c>
      <c r="H351" s="12">
        <v>43173</v>
      </c>
      <c r="I351">
        <v>5</v>
      </c>
      <c r="J351" s="12">
        <v>43156</v>
      </c>
      <c r="K351" t="b">
        <v>1</v>
      </c>
      <c r="L351" s="12">
        <v>43152</v>
      </c>
      <c r="M351" t="b">
        <v>1</v>
      </c>
      <c r="N351">
        <v>1</v>
      </c>
      <c r="O351">
        <v>1</v>
      </c>
      <c r="P351" s="19" t="s">
        <v>279</v>
      </c>
      <c r="Q351" s="19" t="s">
        <v>259</v>
      </c>
      <c r="R351" s="19" t="s">
        <v>121</v>
      </c>
      <c r="S351" s="19" t="s">
        <v>131</v>
      </c>
      <c r="T351" s="16">
        <v>92.9</v>
      </c>
      <c r="U351" s="16">
        <v>21.14</v>
      </c>
      <c r="V351" s="16">
        <v>114.04</v>
      </c>
      <c r="W351" s="19" t="s">
        <v>1213</v>
      </c>
      <c r="X351" s="19" t="s">
        <v>265</v>
      </c>
      <c r="Y351" s="12">
        <v>43177</v>
      </c>
      <c r="Z351" s="12">
        <v>43171</v>
      </c>
      <c r="AA351" s="12">
        <v>43177</v>
      </c>
    </row>
    <row r="352" spans="1:27" x14ac:dyDescent="0.25">
      <c r="A352">
        <v>348</v>
      </c>
      <c r="B352" s="19" t="s">
        <v>657</v>
      </c>
      <c r="C352" s="19" t="s">
        <v>254</v>
      </c>
      <c r="D352" s="19" t="s">
        <v>261</v>
      </c>
      <c r="E352" s="19" t="s">
        <v>262</v>
      </c>
      <c r="F352" s="19" t="s">
        <v>696</v>
      </c>
      <c r="G352" s="12">
        <v>43148</v>
      </c>
      <c r="H352" s="12">
        <v>43173</v>
      </c>
      <c r="I352">
        <v>5</v>
      </c>
      <c r="J352" s="12">
        <v>43157</v>
      </c>
      <c r="K352" t="b">
        <v>1</v>
      </c>
      <c r="L352" s="12">
        <v>43173</v>
      </c>
      <c r="M352" t="b">
        <v>1</v>
      </c>
      <c r="N352">
        <v>3</v>
      </c>
      <c r="O352">
        <v>1</v>
      </c>
      <c r="P352" s="19" t="s">
        <v>697</v>
      </c>
      <c r="Q352" s="19" t="s">
        <v>259</v>
      </c>
      <c r="R352" s="19" t="s">
        <v>135</v>
      </c>
      <c r="S352" s="19" t="s">
        <v>133</v>
      </c>
      <c r="T352" s="16">
        <v>539.70000000000005</v>
      </c>
      <c r="U352" s="16">
        <v>83.4</v>
      </c>
      <c r="V352" s="16">
        <v>623.1</v>
      </c>
      <c r="W352" s="19" t="s">
        <v>1255</v>
      </c>
      <c r="X352" s="19" t="s">
        <v>265</v>
      </c>
      <c r="Y352" s="12">
        <v>43177</v>
      </c>
      <c r="Z352" s="12">
        <v>43171</v>
      </c>
      <c r="AA352" s="12">
        <v>43177</v>
      </c>
    </row>
    <row r="353" spans="1:27" x14ac:dyDescent="0.25">
      <c r="A353">
        <v>349</v>
      </c>
      <c r="B353" s="19" t="s">
        <v>657</v>
      </c>
      <c r="C353" s="19" t="s">
        <v>254</v>
      </c>
      <c r="D353" s="19" t="s">
        <v>261</v>
      </c>
      <c r="E353" s="19" t="s">
        <v>262</v>
      </c>
      <c r="F353" s="19" t="s">
        <v>698</v>
      </c>
      <c r="G353" s="12">
        <v>43149</v>
      </c>
      <c r="H353" s="12">
        <v>43173</v>
      </c>
      <c r="I353">
        <v>5</v>
      </c>
      <c r="J353" s="12">
        <v>43157</v>
      </c>
      <c r="K353" t="b">
        <v>1</v>
      </c>
      <c r="L353" s="12">
        <v>43171</v>
      </c>
      <c r="M353" t="b">
        <v>1</v>
      </c>
      <c r="N353">
        <v>1</v>
      </c>
      <c r="O353">
        <v>1</v>
      </c>
      <c r="P353" s="19" t="s">
        <v>699</v>
      </c>
      <c r="Q353" s="19" t="s">
        <v>259</v>
      </c>
      <c r="R353" s="19" t="s">
        <v>121</v>
      </c>
      <c r="S353" s="19" t="s">
        <v>131</v>
      </c>
      <c r="T353" s="16">
        <v>290</v>
      </c>
      <c r="U353" s="16">
        <v>17.79</v>
      </c>
      <c r="V353" s="16">
        <v>307.79000000000002</v>
      </c>
      <c r="W353" s="19" t="s">
        <v>1256</v>
      </c>
      <c r="X353" s="19" t="s">
        <v>265</v>
      </c>
      <c r="Y353" s="12">
        <v>43177</v>
      </c>
      <c r="Z353" s="12">
        <v>43171</v>
      </c>
      <c r="AA353" s="12">
        <v>43177</v>
      </c>
    </row>
    <row r="354" spans="1:27" x14ac:dyDescent="0.25">
      <c r="A354">
        <v>350</v>
      </c>
      <c r="B354" s="19" t="s">
        <v>657</v>
      </c>
      <c r="C354" s="19" t="s">
        <v>254</v>
      </c>
      <c r="D354" s="19" t="s">
        <v>261</v>
      </c>
      <c r="E354" s="19" t="s">
        <v>262</v>
      </c>
      <c r="F354" s="19" t="s">
        <v>1257</v>
      </c>
      <c r="G354" s="12">
        <v>43148</v>
      </c>
      <c r="H354" s="12">
        <v>43173</v>
      </c>
      <c r="I354">
        <v>5</v>
      </c>
      <c r="J354" s="12">
        <v>43157</v>
      </c>
      <c r="K354" t="b">
        <v>1</v>
      </c>
      <c r="L354" s="12">
        <v>43151</v>
      </c>
      <c r="M354" t="b">
        <v>1</v>
      </c>
      <c r="N354">
        <v>1</v>
      </c>
      <c r="O354">
        <v>1</v>
      </c>
      <c r="P354" s="19" t="s">
        <v>292</v>
      </c>
      <c r="Q354" s="19" t="s">
        <v>259</v>
      </c>
      <c r="R354" s="19" t="s">
        <v>131</v>
      </c>
      <c r="S354" s="19" t="s">
        <v>121</v>
      </c>
      <c r="T354" s="16">
        <v>179</v>
      </c>
      <c r="U354" s="16">
        <v>45.71</v>
      </c>
      <c r="V354" s="16">
        <v>224.71</v>
      </c>
      <c r="W354" s="19" t="s">
        <v>1233</v>
      </c>
      <c r="X354" s="19" t="s">
        <v>265</v>
      </c>
      <c r="Y354" s="12">
        <v>43177</v>
      </c>
      <c r="Z354" s="12">
        <v>43171</v>
      </c>
      <c r="AA354" s="12">
        <v>43177</v>
      </c>
    </row>
    <row r="355" spans="1:27" x14ac:dyDescent="0.25">
      <c r="A355">
        <v>351</v>
      </c>
      <c r="B355" s="19" t="s">
        <v>657</v>
      </c>
      <c r="C355" s="19" t="s">
        <v>254</v>
      </c>
      <c r="D355" s="19" t="s">
        <v>261</v>
      </c>
      <c r="E355" s="19" t="s">
        <v>262</v>
      </c>
      <c r="F355" s="19" t="s">
        <v>1258</v>
      </c>
      <c r="G355" s="12">
        <v>43150</v>
      </c>
      <c r="H355" s="12">
        <v>43173</v>
      </c>
      <c r="I355">
        <v>5</v>
      </c>
      <c r="J355" s="12">
        <v>43157</v>
      </c>
      <c r="K355" t="b">
        <v>1</v>
      </c>
      <c r="L355" s="12">
        <v>43155</v>
      </c>
      <c r="M355" t="b">
        <v>1</v>
      </c>
      <c r="N355">
        <v>1</v>
      </c>
      <c r="O355">
        <v>1</v>
      </c>
      <c r="P355" s="19" t="s">
        <v>673</v>
      </c>
      <c r="Q355" s="19" t="s">
        <v>259</v>
      </c>
      <c r="R355" s="19" t="s">
        <v>121</v>
      </c>
      <c r="S355" s="19" t="s">
        <v>122</v>
      </c>
      <c r="T355" s="16">
        <v>119</v>
      </c>
      <c r="U355" s="16">
        <v>16.59</v>
      </c>
      <c r="V355" s="16">
        <v>135.59</v>
      </c>
      <c r="W355" s="19" t="s">
        <v>1259</v>
      </c>
      <c r="X355" s="19" t="s">
        <v>265</v>
      </c>
      <c r="Y355" s="12">
        <v>43177</v>
      </c>
      <c r="Z355" s="12">
        <v>43171</v>
      </c>
      <c r="AA355" s="12">
        <v>43177</v>
      </c>
    </row>
    <row r="356" spans="1:27" x14ac:dyDescent="0.25">
      <c r="A356">
        <v>352</v>
      </c>
      <c r="B356" s="19" t="s">
        <v>657</v>
      </c>
      <c r="C356" s="19" t="s">
        <v>254</v>
      </c>
      <c r="D356" s="19" t="s">
        <v>261</v>
      </c>
      <c r="E356" s="19" t="s">
        <v>262</v>
      </c>
      <c r="F356" s="19" t="s">
        <v>1260</v>
      </c>
      <c r="G356" s="12">
        <v>43150</v>
      </c>
      <c r="H356" s="12">
        <v>43173</v>
      </c>
      <c r="I356">
        <v>5</v>
      </c>
      <c r="J356" s="12">
        <v>43157</v>
      </c>
      <c r="K356" t="b">
        <v>1</v>
      </c>
      <c r="L356" s="12">
        <v>43152</v>
      </c>
      <c r="M356" t="b">
        <v>1</v>
      </c>
      <c r="N356">
        <v>1</v>
      </c>
      <c r="O356">
        <v>1</v>
      </c>
      <c r="P356" s="19" t="s">
        <v>365</v>
      </c>
      <c r="Q356" s="19" t="s">
        <v>259</v>
      </c>
      <c r="R356" s="19" t="s">
        <v>121</v>
      </c>
      <c r="S356" s="19" t="s">
        <v>122</v>
      </c>
      <c r="T356" s="16">
        <v>58.99</v>
      </c>
      <c r="U356" s="16">
        <v>17.66</v>
      </c>
      <c r="V356" s="16">
        <v>76.650000000000006</v>
      </c>
      <c r="W356" s="19" t="s">
        <v>1213</v>
      </c>
      <c r="X356" s="19" t="s">
        <v>265</v>
      </c>
      <c r="Y356" s="12">
        <v>43177</v>
      </c>
      <c r="Z356" s="12">
        <v>43171</v>
      </c>
      <c r="AA356" s="12">
        <v>43177</v>
      </c>
    </row>
    <row r="357" spans="1:27" x14ac:dyDescent="0.25">
      <c r="A357">
        <v>353</v>
      </c>
      <c r="B357" s="19" t="s">
        <v>657</v>
      </c>
      <c r="C357" s="19" t="s">
        <v>254</v>
      </c>
      <c r="D357" s="19" t="s">
        <v>261</v>
      </c>
      <c r="E357" s="19" t="s">
        <v>262</v>
      </c>
      <c r="F357" s="19" t="s">
        <v>1261</v>
      </c>
      <c r="G357" s="12">
        <v>43148</v>
      </c>
      <c r="H357" s="12">
        <v>43173</v>
      </c>
      <c r="I357">
        <v>5</v>
      </c>
      <c r="J357" s="12">
        <v>43157</v>
      </c>
      <c r="K357" t="b">
        <v>1</v>
      </c>
      <c r="L357" s="12">
        <v>43157</v>
      </c>
      <c r="M357" t="b">
        <v>1</v>
      </c>
      <c r="N357">
        <v>1</v>
      </c>
      <c r="O357">
        <v>1</v>
      </c>
      <c r="P357" s="19" t="s">
        <v>405</v>
      </c>
      <c r="Q357" s="19" t="s">
        <v>259</v>
      </c>
      <c r="R357" s="19" t="s">
        <v>121</v>
      </c>
      <c r="S357" s="19" t="s">
        <v>160</v>
      </c>
      <c r="T357" s="16">
        <v>12.25</v>
      </c>
      <c r="U357" s="16">
        <v>21.15</v>
      </c>
      <c r="V357" s="16">
        <v>33.4</v>
      </c>
      <c r="W357" s="19" t="s">
        <v>1262</v>
      </c>
      <c r="X357" s="19" t="s">
        <v>265</v>
      </c>
      <c r="Y357" s="12">
        <v>43177</v>
      </c>
      <c r="Z357" s="12">
        <v>43171</v>
      </c>
      <c r="AA357" s="12">
        <v>43177</v>
      </c>
    </row>
    <row r="358" spans="1:27" x14ac:dyDescent="0.25">
      <c r="A358">
        <v>354</v>
      </c>
      <c r="B358" s="19" t="s">
        <v>657</v>
      </c>
      <c r="C358" s="19" t="s">
        <v>254</v>
      </c>
      <c r="D358" s="19" t="s">
        <v>261</v>
      </c>
      <c r="E358" s="19" t="s">
        <v>262</v>
      </c>
      <c r="F358" s="19" t="s">
        <v>1263</v>
      </c>
      <c r="G358" s="12">
        <v>43152</v>
      </c>
      <c r="H358" s="12">
        <v>43173</v>
      </c>
      <c r="I358">
        <v>5</v>
      </c>
      <c r="J358" s="12">
        <v>43158</v>
      </c>
      <c r="K358" t="b">
        <v>1</v>
      </c>
      <c r="L358" s="12">
        <v>43153</v>
      </c>
      <c r="M358" t="b">
        <v>1</v>
      </c>
      <c r="N358">
        <v>1</v>
      </c>
      <c r="O358">
        <v>1</v>
      </c>
      <c r="P358" s="19" t="s">
        <v>700</v>
      </c>
      <c r="Q358" s="19" t="s">
        <v>259</v>
      </c>
      <c r="R358" s="19" t="s">
        <v>121</v>
      </c>
      <c r="S358" s="19" t="s">
        <v>135</v>
      </c>
      <c r="T358" s="16">
        <v>176.99</v>
      </c>
      <c r="U358" s="16">
        <v>23.56</v>
      </c>
      <c r="V358" s="16">
        <v>200.55</v>
      </c>
      <c r="W358" s="19" t="s">
        <v>1223</v>
      </c>
      <c r="X358" s="19" t="s">
        <v>265</v>
      </c>
      <c r="Y358" s="12">
        <v>43177</v>
      </c>
      <c r="Z358" s="12">
        <v>43171</v>
      </c>
      <c r="AA358" s="12">
        <v>43177</v>
      </c>
    </row>
    <row r="359" spans="1:27" x14ac:dyDescent="0.25">
      <c r="A359">
        <v>355</v>
      </c>
      <c r="B359" s="19" t="s">
        <v>657</v>
      </c>
      <c r="C359" s="19" t="s">
        <v>254</v>
      </c>
      <c r="D359" s="19" t="s">
        <v>261</v>
      </c>
      <c r="E359" s="19" t="s">
        <v>262</v>
      </c>
      <c r="F359" s="19" t="s">
        <v>1264</v>
      </c>
      <c r="G359" s="12">
        <v>43151</v>
      </c>
      <c r="H359" s="12">
        <v>43173</v>
      </c>
      <c r="I359">
        <v>5</v>
      </c>
      <c r="J359" s="12">
        <v>43158</v>
      </c>
      <c r="K359" t="b">
        <v>1</v>
      </c>
      <c r="L359" s="12">
        <v>43157</v>
      </c>
      <c r="M359" t="b">
        <v>1</v>
      </c>
      <c r="N359">
        <v>2</v>
      </c>
      <c r="O359">
        <v>1</v>
      </c>
      <c r="P359" s="19" t="s">
        <v>1172</v>
      </c>
      <c r="Q359" s="19" t="s">
        <v>259</v>
      </c>
      <c r="R359" s="19" t="s">
        <v>121</v>
      </c>
      <c r="S359" s="19" t="s">
        <v>122</v>
      </c>
      <c r="T359" s="16">
        <v>76.8</v>
      </c>
      <c r="U359" s="16">
        <v>32.22</v>
      </c>
      <c r="V359" s="16">
        <v>109.02</v>
      </c>
      <c r="W359" s="19" t="s">
        <v>1262</v>
      </c>
      <c r="X359" s="19" t="s">
        <v>265</v>
      </c>
      <c r="Y359" s="12">
        <v>43177</v>
      </c>
      <c r="Z359" s="12">
        <v>43171</v>
      </c>
      <c r="AA359" s="12">
        <v>43177</v>
      </c>
    </row>
    <row r="360" spans="1:27" x14ac:dyDescent="0.25">
      <c r="A360">
        <v>356</v>
      </c>
      <c r="B360" s="19" t="s">
        <v>657</v>
      </c>
      <c r="C360" s="19" t="s">
        <v>254</v>
      </c>
      <c r="D360" s="19" t="s">
        <v>261</v>
      </c>
      <c r="E360" s="19" t="s">
        <v>262</v>
      </c>
      <c r="F360" s="19" t="s">
        <v>1265</v>
      </c>
      <c r="G360" s="12">
        <v>43152</v>
      </c>
      <c r="H360" s="12">
        <v>43173</v>
      </c>
      <c r="I360">
        <v>5</v>
      </c>
      <c r="J360" s="12">
        <v>43158</v>
      </c>
      <c r="K360" t="b">
        <v>1</v>
      </c>
      <c r="L360" s="12">
        <v>43157</v>
      </c>
      <c r="M360" t="b">
        <v>1</v>
      </c>
      <c r="N360">
        <v>1</v>
      </c>
      <c r="O360">
        <v>1</v>
      </c>
      <c r="P360" s="19" t="s">
        <v>701</v>
      </c>
      <c r="Q360" s="19" t="s">
        <v>259</v>
      </c>
      <c r="R360" s="19" t="s">
        <v>121</v>
      </c>
      <c r="S360" s="19" t="s">
        <v>122</v>
      </c>
      <c r="T360" s="16">
        <v>72.900000000000006</v>
      </c>
      <c r="U360" s="16">
        <v>15.26</v>
      </c>
      <c r="V360" s="16">
        <v>88.16</v>
      </c>
      <c r="W360" s="19" t="s">
        <v>1262</v>
      </c>
      <c r="X360" s="19" t="s">
        <v>265</v>
      </c>
      <c r="Y360" s="12">
        <v>43177</v>
      </c>
      <c r="Z360" s="12">
        <v>43171</v>
      </c>
      <c r="AA360" s="12">
        <v>43177</v>
      </c>
    </row>
    <row r="361" spans="1:27" x14ac:dyDescent="0.25">
      <c r="A361">
        <v>357</v>
      </c>
      <c r="B361" s="19" t="s">
        <v>657</v>
      </c>
      <c r="C361" s="19" t="s">
        <v>254</v>
      </c>
      <c r="D361" s="19" t="s">
        <v>261</v>
      </c>
      <c r="E361" s="19" t="s">
        <v>262</v>
      </c>
      <c r="F361" s="19" t="s">
        <v>1266</v>
      </c>
      <c r="G361" s="12">
        <v>43151</v>
      </c>
      <c r="H361" s="12">
        <v>43173</v>
      </c>
      <c r="I361">
        <v>5</v>
      </c>
      <c r="J361" s="12">
        <v>43158</v>
      </c>
      <c r="K361" t="b">
        <v>1</v>
      </c>
      <c r="L361" s="12">
        <v>43154</v>
      </c>
      <c r="M361" t="b">
        <v>1</v>
      </c>
      <c r="N361">
        <v>1</v>
      </c>
      <c r="O361">
        <v>1</v>
      </c>
      <c r="P361" s="19" t="s">
        <v>1267</v>
      </c>
      <c r="Q361" s="19" t="s">
        <v>259</v>
      </c>
      <c r="R361" s="19" t="s">
        <v>121</v>
      </c>
      <c r="S361" s="19" t="s">
        <v>131</v>
      </c>
      <c r="T361" s="16">
        <v>45.36</v>
      </c>
      <c r="U361" s="16">
        <v>15.1</v>
      </c>
      <c r="V361" s="16">
        <v>60.46</v>
      </c>
      <c r="W361" s="19" t="s">
        <v>1268</v>
      </c>
      <c r="X361" s="19" t="s">
        <v>265</v>
      </c>
      <c r="Y361" s="12">
        <v>43177</v>
      </c>
      <c r="Z361" s="12">
        <v>43171</v>
      </c>
      <c r="AA361" s="12">
        <v>43177</v>
      </c>
    </row>
    <row r="362" spans="1:27" x14ac:dyDescent="0.25">
      <c r="A362">
        <v>358</v>
      </c>
      <c r="B362" s="19" t="s">
        <v>657</v>
      </c>
      <c r="C362" s="19" t="s">
        <v>254</v>
      </c>
      <c r="D362" s="19" t="s">
        <v>261</v>
      </c>
      <c r="E362" s="19" t="s">
        <v>262</v>
      </c>
      <c r="F362" s="19" t="s">
        <v>1269</v>
      </c>
      <c r="G362" s="12">
        <v>43151</v>
      </c>
      <c r="H362" s="12">
        <v>43173</v>
      </c>
      <c r="I362">
        <v>5</v>
      </c>
      <c r="J362" s="12">
        <v>43158</v>
      </c>
      <c r="K362" t="b">
        <v>1</v>
      </c>
      <c r="L362" s="12">
        <v>43155</v>
      </c>
      <c r="M362" t="b">
        <v>1</v>
      </c>
      <c r="N362">
        <v>1</v>
      </c>
      <c r="O362">
        <v>1</v>
      </c>
      <c r="P362" s="19" t="s">
        <v>1270</v>
      </c>
      <c r="Q362" s="19" t="s">
        <v>259</v>
      </c>
      <c r="R362" s="19" t="s">
        <v>121</v>
      </c>
      <c r="S362" s="19" t="s">
        <v>122</v>
      </c>
      <c r="T362" s="16">
        <v>29.9</v>
      </c>
      <c r="U362" s="16">
        <v>15.1</v>
      </c>
      <c r="V362" s="16">
        <v>45</v>
      </c>
      <c r="W362" s="19" t="s">
        <v>1259</v>
      </c>
      <c r="X362" s="19" t="s">
        <v>265</v>
      </c>
      <c r="Y362" s="12">
        <v>43177</v>
      </c>
      <c r="Z362" s="12">
        <v>43171</v>
      </c>
      <c r="AA362" s="12">
        <v>43177</v>
      </c>
    </row>
    <row r="363" spans="1:27" x14ac:dyDescent="0.25">
      <c r="A363">
        <v>359</v>
      </c>
      <c r="B363" s="19" t="s">
        <v>657</v>
      </c>
      <c r="C363" s="19" t="s">
        <v>254</v>
      </c>
      <c r="D363" s="19" t="s">
        <v>261</v>
      </c>
      <c r="E363" s="19" t="s">
        <v>262</v>
      </c>
      <c r="F363" s="19" t="s">
        <v>1271</v>
      </c>
      <c r="G363" s="12">
        <v>43152</v>
      </c>
      <c r="H363" s="12">
        <v>43173</v>
      </c>
      <c r="I363">
        <v>5</v>
      </c>
      <c r="J363" s="12">
        <v>43158</v>
      </c>
      <c r="K363" t="b">
        <v>1</v>
      </c>
      <c r="L363" s="12">
        <v>43153</v>
      </c>
      <c r="M363" t="b">
        <v>1</v>
      </c>
      <c r="N363">
        <v>1</v>
      </c>
      <c r="O363">
        <v>1</v>
      </c>
      <c r="P363" s="19" t="s">
        <v>1272</v>
      </c>
      <c r="Q363" s="19" t="s">
        <v>259</v>
      </c>
      <c r="R363" s="19" t="s">
        <v>121</v>
      </c>
      <c r="S363" s="19" t="s">
        <v>122</v>
      </c>
      <c r="T363" s="16">
        <v>27.9</v>
      </c>
      <c r="U363" s="16">
        <v>15.1</v>
      </c>
      <c r="V363" s="16">
        <v>43</v>
      </c>
      <c r="W363" s="19" t="s">
        <v>1223</v>
      </c>
      <c r="X363" s="19" t="s">
        <v>265</v>
      </c>
      <c r="Y363" s="12">
        <v>43177</v>
      </c>
      <c r="Z363" s="12">
        <v>43171</v>
      </c>
      <c r="AA363" s="12">
        <v>43177</v>
      </c>
    </row>
    <row r="364" spans="1:27" x14ac:dyDescent="0.25">
      <c r="A364">
        <v>360</v>
      </c>
      <c r="B364" s="19" t="s">
        <v>657</v>
      </c>
      <c r="C364" s="19" t="s">
        <v>254</v>
      </c>
      <c r="D364" s="19" t="s">
        <v>261</v>
      </c>
      <c r="E364" s="19" t="s">
        <v>262</v>
      </c>
      <c r="F364" s="19" t="s">
        <v>1273</v>
      </c>
      <c r="G364" s="12">
        <v>43151</v>
      </c>
      <c r="H364" s="12">
        <v>43173</v>
      </c>
      <c r="I364">
        <v>5</v>
      </c>
      <c r="J364" s="12">
        <v>43159</v>
      </c>
      <c r="K364" t="b">
        <v>1</v>
      </c>
      <c r="L364" s="12">
        <v>43152</v>
      </c>
      <c r="M364" t="b">
        <v>1</v>
      </c>
      <c r="N364">
        <v>1</v>
      </c>
      <c r="O364">
        <v>1</v>
      </c>
      <c r="P364" s="19" t="s">
        <v>1274</v>
      </c>
      <c r="Q364" s="19" t="s">
        <v>259</v>
      </c>
      <c r="R364" s="19" t="s">
        <v>121</v>
      </c>
      <c r="S364" s="19" t="s">
        <v>122</v>
      </c>
      <c r="T364" s="16">
        <v>389.9</v>
      </c>
      <c r="U364" s="16">
        <v>16.48</v>
      </c>
      <c r="V364" s="16">
        <v>406.38</v>
      </c>
      <c r="W364" s="19" t="s">
        <v>1213</v>
      </c>
      <c r="X364" s="19" t="s">
        <v>265</v>
      </c>
      <c r="Y364" s="12">
        <v>43177</v>
      </c>
      <c r="Z364" s="12">
        <v>43171</v>
      </c>
      <c r="AA364" s="12">
        <v>43177</v>
      </c>
    </row>
    <row r="365" spans="1:27" x14ac:dyDescent="0.25">
      <c r="A365">
        <v>361</v>
      </c>
      <c r="B365" s="19" t="s">
        <v>657</v>
      </c>
      <c r="C365" s="19" t="s">
        <v>254</v>
      </c>
      <c r="D365" s="19" t="s">
        <v>261</v>
      </c>
      <c r="E365" s="19" t="s">
        <v>262</v>
      </c>
      <c r="F365" s="19" t="s">
        <v>1275</v>
      </c>
      <c r="G365" s="12">
        <v>43153</v>
      </c>
      <c r="H365" s="12">
        <v>43173</v>
      </c>
      <c r="I365">
        <v>5</v>
      </c>
      <c r="J365" s="12">
        <v>43159</v>
      </c>
      <c r="K365" t="b">
        <v>1</v>
      </c>
      <c r="L365" s="12">
        <v>43157</v>
      </c>
      <c r="M365" t="b">
        <v>1</v>
      </c>
      <c r="N365">
        <v>1</v>
      </c>
      <c r="O365">
        <v>1</v>
      </c>
      <c r="P365" s="19" t="s">
        <v>621</v>
      </c>
      <c r="Q365" s="19" t="s">
        <v>259</v>
      </c>
      <c r="R365" s="19" t="s">
        <v>121</v>
      </c>
      <c r="S365" s="19" t="s">
        <v>121</v>
      </c>
      <c r="T365" s="16">
        <v>165</v>
      </c>
      <c r="U365" s="16">
        <v>16.78</v>
      </c>
      <c r="V365" s="16">
        <v>181.78</v>
      </c>
      <c r="W365" s="19" t="s">
        <v>1262</v>
      </c>
      <c r="X365" s="19" t="s">
        <v>265</v>
      </c>
      <c r="Y365" s="12">
        <v>43177</v>
      </c>
      <c r="Z365" s="12">
        <v>43171</v>
      </c>
      <c r="AA365" s="12">
        <v>43177</v>
      </c>
    </row>
    <row r="366" spans="1:27" x14ac:dyDescent="0.25">
      <c r="A366">
        <v>362</v>
      </c>
      <c r="B366" s="19" t="s">
        <v>657</v>
      </c>
      <c r="C366" s="19" t="s">
        <v>254</v>
      </c>
      <c r="D366" s="19" t="s">
        <v>261</v>
      </c>
      <c r="E366" s="19" t="s">
        <v>262</v>
      </c>
      <c r="F366" s="19" t="s">
        <v>1276</v>
      </c>
      <c r="G366" s="12">
        <v>43153</v>
      </c>
      <c r="H366" s="12">
        <v>43173</v>
      </c>
      <c r="I366">
        <v>5</v>
      </c>
      <c r="J366" s="12">
        <v>43159</v>
      </c>
      <c r="K366" t="b">
        <v>1</v>
      </c>
      <c r="L366" s="12">
        <v>43166</v>
      </c>
      <c r="M366" t="b">
        <v>1</v>
      </c>
      <c r="N366">
        <v>1</v>
      </c>
      <c r="O366">
        <v>1</v>
      </c>
      <c r="P366" s="19" t="s">
        <v>1277</v>
      </c>
      <c r="Q366" s="19" t="s">
        <v>259</v>
      </c>
      <c r="R366" s="19" t="s">
        <v>121</v>
      </c>
      <c r="S366" s="19" t="s">
        <v>121</v>
      </c>
      <c r="T366" s="16">
        <v>100</v>
      </c>
      <c r="U366" s="16">
        <v>12.2</v>
      </c>
      <c r="V366" s="16">
        <v>112.2</v>
      </c>
      <c r="W366" s="19" t="s">
        <v>1278</v>
      </c>
      <c r="X366" s="19" t="s">
        <v>265</v>
      </c>
      <c r="Y366" s="12">
        <v>43177</v>
      </c>
      <c r="Z366" s="12">
        <v>43171</v>
      </c>
      <c r="AA366" s="12">
        <v>43177</v>
      </c>
    </row>
    <row r="367" spans="1:27" x14ac:dyDescent="0.25">
      <c r="A367">
        <v>363</v>
      </c>
      <c r="B367" s="19" t="s">
        <v>657</v>
      </c>
      <c r="C367" s="19" t="s">
        <v>254</v>
      </c>
      <c r="D367" s="19" t="s">
        <v>261</v>
      </c>
      <c r="E367" s="19" t="s">
        <v>262</v>
      </c>
      <c r="F367" s="19" t="s">
        <v>1279</v>
      </c>
      <c r="G367" s="12">
        <v>43153</v>
      </c>
      <c r="H367" s="12">
        <v>43173</v>
      </c>
      <c r="I367">
        <v>5</v>
      </c>
      <c r="J367" s="12">
        <v>43159</v>
      </c>
      <c r="K367" t="b">
        <v>1</v>
      </c>
      <c r="L367" s="12">
        <v>43161</v>
      </c>
      <c r="M367" t="b">
        <v>1</v>
      </c>
      <c r="N367">
        <v>3</v>
      </c>
      <c r="O367">
        <v>1</v>
      </c>
      <c r="P367" s="19" t="s">
        <v>497</v>
      </c>
      <c r="Q367" s="19" t="s">
        <v>259</v>
      </c>
      <c r="R367" s="19" t="s">
        <v>121</v>
      </c>
      <c r="S367" s="19" t="s">
        <v>121</v>
      </c>
      <c r="T367" s="16">
        <v>89.7</v>
      </c>
      <c r="U367" s="16">
        <v>38.07</v>
      </c>
      <c r="V367" s="16">
        <v>127.77</v>
      </c>
      <c r="W367" s="19" t="s">
        <v>1243</v>
      </c>
      <c r="X367" s="19" t="s">
        <v>265</v>
      </c>
      <c r="Y367" s="12">
        <v>43177</v>
      </c>
      <c r="Z367" s="12">
        <v>43171</v>
      </c>
      <c r="AA367" s="12">
        <v>43177</v>
      </c>
    </row>
    <row r="368" spans="1:27" x14ac:dyDescent="0.25">
      <c r="A368">
        <v>364</v>
      </c>
      <c r="B368" s="19" t="s">
        <v>657</v>
      </c>
      <c r="C368" s="19" t="s">
        <v>254</v>
      </c>
      <c r="D368" s="19" t="s">
        <v>255</v>
      </c>
      <c r="E368" s="19" t="s">
        <v>256</v>
      </c>
      <c r="F368" s="19" t="s">
        <v>702</v>
      </c>
      <c r="G368" s="12">
        <v>43145</v>
      </c>
      <c r="H368" s="12">
        <v>43173</v>
      </c>
      <c r="I368">
        <v>5</v>
      </c>
      <c r="J368" s="12">
        <v>43159</v>
      </c>
      <c r="K368" t="b">
        <v>1</v>
      </c>
      <c r="L368" s="12"/>
      <c r="M368" t="b">
        <v>1</v>
      </c>
      <c r="N368">
        <v>1</v>
      </c>
      <c r="O368">
        <v>1</v>
      </c>
      <c r="P368" s="19" t="s">
        <v>439</v>
      </c>
      <c r="Q368" s="19" t="s">
        <v>259</v>
      </c>
      <c r="R368" s="19" t="s">
        <v>121</v>
      </c>
      <c r="S368" s="19" t="s">
        <v>121</v>
      </c>
      <c r="T368" s="16">
        <v>71.900000000000006</v>
      </c>
      <c r="U368" s="16">
        <v>12</v>
      </c>
      <c r="V368" s="16">
        <v>83.9</v>
      </c>
      <c r="W368" s="19" t="s">
        <v>1280</v>
      </c>
      <c r="X368" s="19" t="s">
        <v>260</v>
      </c>
      <c r="Y368" s="12">
        <v>43177</v>
      </c>
      <c r="Z368" s="12">
        <v>43171</v>
      </c>
      <c r="AA368" s="12">
        <v>43177</v>
      </c>
    </row>
    <row r="369" spans="1:27" x14ac:dyDescent="0.25">
      <c r="A369">
        <v>365</v>
      </c>
      <c r="B369" s="19" t="s">
        <v>657</v>
      </c>
      <c r="C369" s="19" t="s">
        <v>254</v>
      </c>
      <c r="D369" s="19" t="s">
        <v>261</v>
      </c>
      <c r="E369" s="19" t="s">
        <v>262</v>
      </c>
      <c r="F369" s="19" t="s">
        <v>1281</v>
      </c>
      <c r="G369" s="12">
        <v>43153</v>
      </c>
      <c r="H369" s="12">
        <v>43173</v>
      </c>
      <c r="I369">
        <v>5</v>
      </c>
      <c r="J369" s="12">
        <v>43159</v>
      </c>
      <c r="K369" t="b">
        <v>1</v>
      </c>
      <c r="L369" s="12">
        <v>43157</v>
      </c>
      <c r="M369" t="b">
        <v>1</v>
      </c>
      <c r="N369">
        <v>1</v>
      </c>
      <c r="O369">
        <v>1</v>
      </c>
      <c r="P369" s="19" t="s">
        <v>308</v>
      </c>
      <c r="Q369" s="19" t="s">
        <v>259</v>
      </c>
      <c r="R369" s="19" t="s">
        <v>121</v>
      </c>
      <c r="S369" s="19" t="s">
        <v>122</v>
      </c>
      <c r="T369" s="16">
        <v>59.9</v>
      </c>
      <c r="U369" s="16">
        <v>19.91</v>
      </c>
      <c r="V369" s="16">
        <v>79.81</v>
      </c>
      <c r="W369" s="19" t="s">
        <v>1262</v>
      </c>
      <c r="X369" s="19" t="s">
        <v>265</v>
      </c>
      <c r="Y369" s="12">
        <v>43177</v>
      </c>
      <c r="Z369" s="12">
        <v>43171</v>
      </c>
      <c r="AA369" s="12">
        <v>43177</v>
      </c>
    </row>
    <row r="370" spans="1:27" x14ac:dyDescent="0.25">
      <c r="A370">
        <v>366</v>
      </c>
      <c r="B370" s="19" t="s">
        <v>657</v>
      </c>
      <c r="C370" s="19" t="s">
        <v>254</v>
      </c>
      <c r="D370" s="19" t="s">
        <v>261</v>
      </c>
      <c r="E370" s="19" t="s">
        <v>262</v>
      </c>
      <c r="F370" s="19" t="s">
        <v>1282</v>
      </c>
      <c r="G370" s="12">
        <v>43153</v>
      </c>
      <c r="H370" s="12">
        <v>43173</v>
      </c>
      <c r="I370">
        <v>5</v>
      </c>
      <c r="J370" s="12">
        <v>43159</v>
      </c>
      <c r="K370" t="b">
        <v>1</v>
      </c>
      <c r="L370" s="12">
        <v>43153</v>
      </c>
      <c r="M370" t="b">
        <v>1</v>
      </c>
      <c r="N370">
        <v>1</v>
      </c>
      <c r="O370">
        <v>1</v>
      </c>
      <c r="P370" s="19" t="s">
        <v>1283</v>
      </c>
      <c r="Q370" s="19" t="s">
        <v>259</v>
      </c>
      <c r="R370" s="19" t="s">
        <v>121</v>
      </c>
      <c r="S370" s="19" t="s">
        <v>121</v>
      </c>
      <c r="T370" s="16">
        <v>25</v>
      </c>
      <c r="U370" s="16">
        <v>11.85</v>
      </c>
      <c r="V370" s="16">
        <v>36.85</v>
      </c>
      <c r="W370" s="19" t="s">
        <v>1223</v>
      </c>
      <c r="X370" s="19" t="s">
        <v>265</v>
      </c>
      <c r="Y370" s="12">
        <v>43177</v>
      </c>
      <c r="Z370" s="12">
        <v>43171</v>
      </c>
      <c r="AA370" s="12">
        <v>43177</v>
      </c>
    </row>
    <row r="371" spans="1:27" x14ac:dyDescent="0.25">
      <c r="A371">
        <v>367</v>
      </c>
      <c r="B371" s="19" t="s">
        <v>657</v>
      </c>
      <c r="C371" s="19" t="s">
        <v>254</v>
      </c>
      <c r="D371" s="19" t="s">
        <v>261</v>
      </c>
      <c r="E371" s="19" t="s">
        <v>262</v>
      </c>
      <c r="F371" s="19" t="s">
        <v>1284</v>
      </c>
      <c r="G371" s="12">
        <v>43152</v>
      </c>
      <c r="H371" s="12">
        <v>43173</v>
      </c>
      <c r="I371">
        <v>5</v>
      </c>
      <c r="J371" s="12">
        <v>43159</v>
      </c>
      <c r="K371" t="b">
        <v>1</v>
      </c>
      <c r="L371" s="12">
        <v>43158</v>
      </c>
      <c r="M371" t="b">
        <v>1</v>
      </c>
      <c r="N371">
        <v>1</v>
      </c>
      <c r="O371">
        <v>1</v>
      </c>
      <c r="P371" s="19" t="s">
        <v>541</v>
      </c>
      <c r="Q371" s="19" t="s">
        <v>259</v>
      </c>
      <c r="R371" s="19" t="s">
        <v>121</v>
      </c>
      <c r="S371" s="19" t="s">
        <v>122</v>
      </c>
      <c r="T371" s="16">
        <v>24.9</v>
      </c>
      <c r="U371" s="16">
        <v>17.600000000000001</v>
      </c>
      <c r="V371" s="16">
        <v>42.5</v>
      </c>
      <c r="W371" s="19" t="s">
        <v>1285</v>
      </c>
      <c r="X371" s="19" t="s">
        <v>265</v>
      </c>
      <c r="Y371" s="12">
        <v>43177</v>
      </c>
      <c r="Z371" s="12">
        <v>43171</v>
      </c>
      <c r="AA371" s="12">
        <v>43177</v>
      </c>
    </row>
    <row r="372" spans="1:27" x14ac:dyDescent="0.25">
      <c r="A372">
        <v>368</v>
      </c>
      <c r="B372" s="19" t="s">
        <v>657</v>
      </c>
      <c r="C372" s="19" t="s">
        <v>254</v>
      </c>
      <c r="D372" s="19" t="s">
        <v>261</v>
      </c>
      <c r="E372" s="19" t="s">
        <v>262</v>
      </c>
      <c r="F372" s="19" t="s">
        <v>1286</v>
      </c>
      <c r="G372" s="12">
        <v>43152</v>
      </c>
      <c r="H372" s="12">
        <v>43173</v>
      </c>
      <c r="I372">
        <v>5</v>
      </c>
      <c r="J372" s="12">
        <v>43160</v>
      </c>
      <c r="K372" t="b">
        <v>1</v>
      </c>
      <c r="L372" s="12">
        <v>43157</v>
      </c>
      <c r="M372" t="b">
        <v>1</v>
      </c>
      <c r="N372">
        <v>1</v>
      </c>
      <c r="O372">
        <v>1</v>
      </c>
      <c r="P372" s="19" t="s">
        <v>703</v>
      </c>
      <c r="Q372" s="19" t="s">
        <v>259</v>
      </c>
      <c r="R372" s="19" t="s">
        <v>121</v>
      </c>
      <c r="S372" s="19" t="s">
        <v>122</v>
      </c>
      <c r="T372" s="16">
        <v>75</v>
      </c>
      <c r="U372" s="16">
        <v>62.35</v>
      </c>
      <c r="V372" s="16">
        <v>137.35</v>
      </c>
      <c r="W372" s="19" t="s">
        <v>1262</v>
      </c>
      <c r="X372" s="19" t="s">
        <v>265</v>
      </c>
      <c r="Y372" s="12">
        <v>43177</v>
      </c>
      <c r="Z372" s="12">
        <v>43171</v>
      </c>
      <c r="AA372" s="12">
        <v>43177</v>
      </c>
    </row>
    <row r="373" spans="1:27" x14ac:dyDescent="0.25">
      <c r="A373">
        <v>369</v>
      </c>
      <c r="B373" s="19" t="s">
        <v>657</v>
      </c>
      <c r="C373" s="19" t="s">
        <v>254</v>
      </c>
      <c r="D373" s="19" t="s">
        <v>261</v>
      </c>
      <c r="E373" s="19" t="s">
        <v>262</v>
      </c>
      <c r="F373" s="19" t="s">
        <v>1287</v>
      </c>
      <c r="G373" s="12">
        <v>43153</v>
      </c>
      <c r="H373" s="12">
        <v>43173</v>
      </c>
      <c r="I373">
        <v>5</v>
      </c>
      <c r="J373" s="12">
        <v>43160</v>
      </c>
      <c r="K373" t="b">
        <v>1</v>
      </c>
      <c r="L373" s="12">
        <v>43157</v>
      </c>
      <c r="M373" t="b">
        <v>1</v>
      </c>
      <c r="N373">
        <v>1</v>
      </c>
      <c r="O373">
        <v>1</v>
      </c>
      <c r="P373" s="19" t="s">
        <v>405</v>
      </c>
      <c r="Q373" s="19" t="s">
        <v>259</v>
      </c>
      <c r="R373" s="19" t="s">
        <v>121</v>
      </c>
      <c r="S373" s="19" t="s">
        <v>122</v>
      </c>
      <c r="T373" s="16">
        <v>15</v>
      </c>
      <c r="U373" s="16">
        <v>14.1</v>
      </c>
      <c r="V373" s="16">
        <v>29.1</v>
      </c>
      <c r="W373" s="19" t="s">
        <v>1262</v>
      </c>
      <c r="X373" s="19" t="s">
        <v>265</v>
      </c>
      <c r="Y373" s="12">
        <v>43177</v>
      </c>
      <c r="Z373" s="12">
        <v>43171</v>
      </c>
      <c r="AA373" s="12">
        <v>43177</v>
      </c>
    </row>
    <row r="374" spans="1:27" x14ac:dyDescent="0.25">
      <c r="A374">
        <v>370</v>
      </c>
      <c r="B374" s="19" t="s">
        <v>657</v>
      </c>
      <c r="C374" s="19" t="s">
        <v>254</v>
      </c>
      <c r="D374" s="19" t="s">
        <v>261</v>
      </c>
      <c r="E374" s="19" t="s">
        <v>262</v>
      </c>
      <c r="F374" s="19" t="s">
        <v>1288</v>
      </c>
      <c r="G374" s="12">
        <v>43142</v>
      </c>
      <c r="H374" s="12">
        <v>43173</v>
      </c>
      <c r="I374">
        <v>5</v>
      </c>
      <c r="J374" s="12">
        <v>43161</v>
      </c>
      <c r="K374" t="b">
        <v>1</v>
      </c>
      <c r="L374" s="12">
        <v>43158</v>
      </c>
      <c r="M374" t="b">
        <v>1</v>
      </c>
      <c r="N374">
        <v>1</v>
      </c>
      <c r="O374">
        <v>1</v>
      </c>
      <c r="P374" s="19" t="s">
        <v>1289</v>
      </c>
      <c r="Q374" s="19" t="s">
        <v>259</v>
      </c>
      <c r="R374" s="19" t="s">
        <v>121</v>
      </c>
      <c r="S374" s="19" t="s">
        <v>125</v>
      </c>
      <c r="T374" s="16">
        <v>199.9</v>
      </c>
      <c r="U374" s="16">
        <v>21.89</v>
      </c>
      <c r="V374" s="16">
        <v>221.79</v>
      </c>
      <c r="W374" s="19" t="s">
        <v>1285</v>
      </c>
      <c r="X374" s="19" t="s">
        <v>265</v>
      </c>
      <c r="Y374" s="12">
        <v>43177</v>
      </c>
      <c r="Z374" s="12">
        <v>43171</v>
      </c>
      <c r="AA374" s="12">
        <v>43177</v>
      </c>
    </row>
    <row r="375" spans="1:27" x14ac:dyDescent="0.25">
      <c r="A375">
        <v>371</v>
      </c>
      <c r="B375" s="19" t="s">
        <v>657</v>
      </c>
      <c r="C375" s="19" t="s">
        <v>254</v>
      </c>
      <c r="D375" s="19" t="s">
        <v>261</v>
      </c>
      <c r="E375" s="19" t="s">
        <v>262</v>
      </c>
      <c r="F375" s="19" t="s">
        <v>1290</v>
      </c>
      <c r="G375" s="12">
        <v>43161</v>
      </c>
      <c r="H375" s="12">
        <v>43173</v>
      </c>
      <c r="I375">
        <v>5</v>
      </c>
      <c r="J375" s="12">
        <v>43167</v>
      </c>
      <c r="K375" t="b">
        <v>1</v>
      </c>
      <c r="L375" s="12">
        <v>43165</v>
      </c>
      <c r="M375" t="b">
        <v>1</v>
      </c>
      <c r="N375">
        <v>1</v>
      </c>
      <c r="O375">
        <v>1</v>
      </c>
      <c r="P375" s="19" t="s">
        <v>1291</v>
      </c>
      <c r="Q375" s="19" t="s">
        <v>259</v>
      </c>
      <c r="R375" s="19" t="s">
        <v>121</v>
      </c>
      <c r="S375" s="19" t="s">
        <v>121</v>
      </c>
      <c r="T375" s="16">
        <v>183</v>
      </c>
      <c r="U375" s="16">
        <v>12.49</v>
      </c>
      <c r="V375" s="16">
        <v>195.49</v>
      </c>
      <c r="W375" s="19" t="s">
        <v>1292</v>
      </c>
      <c r="X375" s="19" t="s">
        <v>265</v>
      </c>
      <c r="Y375" s="12">
        <v>43177</v>
      </c>
      <c r="Z375" s="12">
        <v>43171</v>
      </c>
      <c r="AA375" s="12">
        <v>43177</v>
      </c>
    </row>
    <row r="376" spans="1:27" x14ac:dyDescent="0.25">
      <c r="A376">
        <v>372</v>
      </c>
      <c r="B376" s="19" t="s">
        <v>657</v>
      </c>
      <c r="C376" s="19" t="s">
        <v>254</v>
      </c>
      <c r="D376" s="19" t="s">
        <v>261</v>
      </c>
      <c r="E376" s="19" t="s">
        <v>262</v>
      </c>
      <c r="F376" s="19" t="s">
        <v>1293</v>
      </c>
      <c r="G376" s="12">
        <v>43136</v>
      </c>
      <c r="H376" s="12">
        <v>43174</v>
      </c>
      <c r="I376">
        <v>4</v>
      </c>
      <c r="J376" s="12">
        <v>43145</v>
      </c>
      <c r="K376" t="b">
        <v>1</v>
      </c>
      <c r="L376" s="12">
        <v>43138</v>
      </c>
      <c r="M376" t="b">
        <v>1</v>
      </c>
      <c r="N376">
        <v>1</v>
      </c>
      <c r="O376">
        <v>1</v>
      </c>
      <c r="P376" s="19" t="s">
        <v>365</v>
      </c>
      <c r="Q376" s="19" t="s">
        <v>259</v>
      </c>
      <c r="R376" s="19" t="s">
        <v>121</v>
      </c>
      <c r="S376" s="19" t="s">
        <v>152</v>
      </c>
      <c r="T376" s="16">
        <v>23.99</v>
      </c>
      <c r="U376" s="16">
        <v>25.63</v>
      </c>
      <c r="V376" s="16">
        <v>49.62</v>
      </c>
      <c r="W376" s="19" t="s">
        <v>1294</v>
      </c>
      <c r="X376" s="19" t="s">
        <v>265</v>
      </c>
      <c r="Y376" s="12">
        <v>43177</v>
      </c>
      <c r="Z376" s="12">
        <v>43171</v>
      </c>
      <c r="AA376" s="12">
        <v>43177</v>
      </c>
    </row>
    <row r="377" spans="1:27" x14ac:dyDescent="0.25">
      <c r="A377">
        <v>373</v>
      </c>
      <c r="B377" s="19" t="s">
        <v>657</v>
      </c>
      <c r="C377" s="19" t="s">
        <v>254</v>
      </c>
      <c r="D377" s="19" t="s">
        <v>261</v>
      </c>
      <c r="E377" s="19" t="s">
        <v>262</v>
      </c>
      <c r="F377" s="19" t="s">
        <v>1295</v>
      </c>
      <c r="G377" s="12">
        <v>43142</v>
      </c>
      <c r="H377" s="12">
        <v>43174</v>
      </c>
      <c r="I377">
        <v>4</v>
      </c>
      <c r="J377" s="12">
        <v>43146</v>
      </c>
      <c r="K377" t="b">
        <v>1</v>
      </c>
      <c r="L377" s="12">
        <v>43146</v>
      </c>
      <c r="M377" t="b">
        <v>1</v>
      </c>
      <c r="N377">
        <v>3</v>
      </c>
      <c r="O377">
        <v>1</v>
      </c>
      <c r="P377" s="19" t="s">
        <v>1296</v>
      </c>
      <c r="Q377" s="19" t="s">
        <v>259</v>
      </c>
      <c r="R377" s="19" t="s">
        <v>121</v>
      </c>
      <c r="S377" s="19" t="s">
        <v>152</v>
      </c>
      <c r="T377" s="16">
        <v>299.7</v>
      </c>
      <c r="U377" s="16">
        <v>87.3</v>
      </c>
      <c r="V377" s="16">
        <v>387</v>
      </c>
      <c r="W377" s="19" t="s">
        <v>1297</v>
      </c>
      <c r="X377" s="19" t="s">
        <v>265</v>
      </c>
      <c r="Y377" s="12">
        <v>43177</v>
      </c>
      <c r="Z377" s="12">
        <v>43171</v>
      </c>
      <c r="AA377" s="12">
        <v>43177</v>
      </c>
    </row>
    <row r="378" spans="1:27" x14ac:dyDescent="0.25">
      <c r="A378">
        <v>374</v>
      </c>
      <c r="B378" s="19" t="s">
        <v>657</v>
      </c>
      <c r="C378" s="19" t="s">
        <v>254</v>
      </c>
      <c r="D378" s="19" t="s">
        <v>261</v>
      </c>
      <c r="E378" s="19" t="s">
        <v>262</v>
      </c>
      <c r="F378" s="19" t="s">
        <v>1298</v>
      </c>
      <c r="G378" s="12">
        <v>43143</v>
      </c>
      <c r="H378" s="12">
        <v>43174</v>
      </c>
      <c r="I378">
        <v>4</v>
      </c>
      <c r="J378" s="12">
        <v>43147</v>
      </c>
      <c r="K378" t="b">
        <v>1</v>
      </c>
      <c r="L378" s="12">
        <v>43146</v>
      </c>
      <c r="M378" t="b">
        <v>1</v>
      </c>
      <c r="N378">
        <v>1</v>
      </c>
      <c r="O378">
        <v>1</v>
      </c>
      <c r="P378" s="19" t="s">
        <v>704</v>
      </c>
      <c r="Q378" s="19" t="s">
        <v>259</v>
      </c>
      <c r="R378" s="19" t="s">
        <v>121</v>
      </c>
      <c r="S378" s="19" t="s">
        <v>138</v>
      </c>
      <c r="T378" s="16">
        <v>227.8</v>
      </c>
      <c r="U378" s="16">
        <v>16.34</v>
      </c>
      <c r="V378" s="16">
        <v>244.14</v>
      </c>
      <c r="W378" s="19" t="s">
        <v>1297</v>
      </c>
      <c r="X378" s="19" t="s">
        <v>265</v>
      </c>
      <c r="Y378" s="12">
        <v>43177</v>
      </c>
      <c r="Z378" s="12">
        <v>43171</v>
      </c>
      <c r="AA378" s="12">
        <v>43177</v>
      </c>
    </row>
    <row r="379" spans="1:27" x14ac:dyDescent="0.25">
      <c r="A379">
        <v>375</v>
      </c>
      <c r="B379" s="19" t="s">
        <v>657</v>
      </c>
      <c r="C379" s="19" t="s">
        <v>254</v>
      </c>
      <c r="D379" s="19" t="s">
        <v>261</v>
      </c>
      <c r="E379" s="19" t="s">
        <v>262</v>
      </c>
      <c r="F379" s="19" t="s">
        <v>1299</v>
      </c>
      <c r="G379" s="12">
        <v>43143</v>
      </c>
      <c r="H379" s="12">
        <v>43174</v>
      </c>
      <c r="I379">
        <v>4</v>
      </c>
      <c r="J379" s="12">
        <v>43147</v>
      </c>
      <c r="K379" t="b">
        <v>1</v>
      </c>
      <c r="L379" s="12">
        <v>43148</v>
      </c>
      <c r="M379" t="b">
        <v>1</v>
      </c>
      <c r="N379">
        <v>1</v>
      </c>
      <c r="O379">
        <v>1</v>
      </c>
      <c r="P379" s="19" t="s">
        <v>1300</v>
      </c>
      <c r="Q379" s="19" t="s">
        <v>259</v>
      </c>
      <c r="R379" s="19" t="s">
        <v>121</v>
      </c>
      <c r="S379" s="19" t="s">
        <v>138</v>
      </c>
      <c r="T379" s="16">
        <v>79.900000000000006</v>
      </c>
      <c r="U379" s="16">
        <v>16.32</v>
      </c>
      <c r="V379" s="16">
        <v>96.22</v>
      </c>
      <c r="W379" s="19" t="s">
        <v>1301</v>
      </c>
      <c r="X379" s="19" t="s">
        <v>265</v>
      </c>
      <c r="Y379" s="12">
        <v>43177</v>
      </c>
      <c r="Z379" s="12">
        <v>43171</v>
      </c>
      <c r="AA379" s="12">
        <v>43177</v>
      </c>
    </row>
    <row r="380" spans="1:27" x14ac:dyDescent="0.25">
      <c r="A380">
        <v>376</v>
      </c>
      <c r="B380" s="19" t="s">
        <v>657</v>
      </c>
      <c r="C380" s="19" t="s">
        <v>254</v>
      </c>
      <c r="D380" s="19" t="s">
        <v>261</v>
      </c>
      <c r="E380" s="19" t="s">
        <v>262</v>
      </c>
      <c r="F380" s="19" t="s">
        <v>1302</v>
      </c>
      <c r="G380" s="12">
        <v>43143</v>
      </c>
      <c r="H380" s="12">
        <v>43174</v>
      </c>
      <c r="I380">
        <v>4</v>
      </c>
      <c r="J380" s="12">
        <v>43149</v>
      </c>
      <c r="K380" t="b">
        <v>1</v>
      </c>
      <c r="L380" s="12">
        <v>43151</v>
      </c>
      <c r="M380" t="b">
        <v>1</v>
      </c>
      <c r="N380">
        <v>2</v>
      </c>
      <c r="O380">
        <v>1</v>
      </c>
      <c r="P380" s="19" t="s">
        <v>478</v>
      </c>
      <c r="Q380" s="19" t="s">
        <v>259</v>
      </c>
      <c r="R380" s="19" t="s">
        <v>121</v>
      </c>
      <c r="S380" s="19" t="s">
        <v>187</v>
      </c>
      <c r="T380" s="16">
        <v>99.8</v>
      </c>
      <c r="U380" s="16">
        <v>75.8</v>
      </c>
      <c r="V380" s="16">
        <v>175.6</v>
      </c>
      <c r="W380" s="19" t="s">
        <v>1303</v>
      </c>
      <c r="X380" s="19" t="s">
        <v>265</v>
      </c>
      <c r="Y380" s="12">
        <v>43177</v>
      </c>
      <c r="Z380" s="12">
        <v>43171</v>
      </c>
      <c r="AA380" s="12">
        <v>43177</v>
      </c>
    </row>
    <row r="381" spans="1:27" x14ac:dyDescent="0.25">
      <c r="A381">
        <v>377</v>
      </c>
      <c r="B381" s="19" t="s">
        <v>657</v>
      </c>
      <c r="C381" s="19" t="s">
        <v>254</v>
      </c>
      <c r="D381" s="19" t="s">
        <v>261</v>
      </c>
      <c r="E381" s="19" t="s">
        <v>262</v>
      </c>
      <c r="F381" s="19" t="s">
        <v>1304</v>
      </c>
      <c r="G381" s="12">
        <v>43138</v>
      </c>
      <c r="H381" s="12">
        <v>43174</v>
      </c>
      <c r="I381">
        <v>4</v>
      </c>
      <c r="J381" s="12">
        <v>43150</v>
      </c>
      <c r="K381" t="b">
        <v>1</v>
      </c>
      <c r="L381" s="12">
        <v>43145</v>
      </c>
      <c r="M381" t="b">
        <v>1</v>
      </c>
      <c r="N381">
        <v>2</v>
      </c>
      <c r="O381">
        <v>1</v>
      </c>
      <c r="P381" s="19" t="s">
        <v>1305</v>
      </c>
      <c r="Q381" s="19" t="s">
        <v>259</v>
      </c>
      <c r="R381" s="19" t="s">
        <v>135</v>
      </c>
      <c r="S381" s="19" t="s">
        <v>131</v>
      </c>
      <c r="T381" s="16">
        <v>288.82</v>
      </c>
      <c r="U381" s="16">
        <v>34.9</v>
      </c>
      <c r="V381" s="16">
        <v>323.72000000000003</v>
      </c>
      <c r="W381" s="19" t="s">
        <v>1306</v>
      </c>
      <c r="X381" s="19" t="s">
        <v>265</v>
      </c>
      <c r="Y381" s="12">
        <v>43177</v>
      </c>
      <c r="Z381" s="12">
        <v>43171</v>
      </c>
      <c r="AA381" s="12">
        <v>43177</v>
      </c>
    </row>
    <row r="382" spans="1:27" x14ac:dyDescent="0.25">
      <c r="A382">
        <v>378</v>
      </c>
      <c r="B382" s="19" t="s">
        <v>657</v>
      </c>
      <c r="C382" s="19" t="s">
        <v>254</v>
      </c>
      <c r="D382" s="19" t="s">
        <v>261</v>
      </c>
      <c r="E382" s="19" t="s">
        <v>262</v>
      </c>
      <c r="F382" s="19" t="s">
        <v>1307</v>
      </c>
      <c r="G382" s="12">
        <v>43144</v>
      </c>
      <c r="H382" s="12">
        <v>43174</v>
      </c>
      <c r="I382">
        <v>4</v>
      </c>
      <c r="J382" s="12">
        <v>43150</v>
      </c>
      <c r="K382" t="b">
        <v>1</v>
      </c>
      <c r="L382" s="12">
        <v>43150</v>
      </c>
      <c r="M382" t="b">
        <v>1</v>
      </c>
      <c r="N382">
        <v>1</v>
      </c>
      <c r="O382">
        <v>1</v>
      </c>
      <c r="P382" s="19" t="s">
        <v>386</v>
      </c>
      <c r="Q382" s="19" t="s">
        <v>259</v>
      </c>
      <c r="R382" s="19" t="s">
        <v>121</v>
      </c>
      <c r="S382" s="19" t="s">
        <v>129</v>
      </c>
      <c r="T382" s="16">
        <v>134.9</v>
      </c>
      <c r="U382" s="16">
        <v>18.510000000000002</v>
      </c>
      <c r="V382" s="16">
        <v>153.41</v>
      </c>
      <c r="W382" s="19" t="s">
        <v>1308</v>
      </c>
      <c r="X382" s="19" t="s">
        <v>265</v>
      </c>
      <c r="Y382" s="12">
        <v>43177</v>
      </c>
      <c r="Z382" s="12">
        <v>43171</v>
      </c>
      <c r="AA382" s="12">
        <v>43177</v>
      </c>
    </row>
    <row r="383" spans="1:27" x14ac:dyDescent="0.25">
      <c r="A383">
        <v>379</v>
      </c>
      <c r="B383" s="19" t="s">
        <v>657</v>
      </c>
      <c r="C383" s="19" t="s">
        <v>254</v>
      </c>
      <c r="D383" s="19" t="s">
        <v>261</v>
      </c>
      <c r="E383" s="19" t="s">
        <v>262</v>
      </c>
      <c r="F383" s="19" t="s">
        <v>1309</v>
      </c>
      <c r="G383" s="12">
        <v>43144</v>
      </c>
      <c r="H383" s="12">
        <v>43174</v>
      </c>
      <c r="I383">
        <v>4</v>
      </c>
      <c r="J383" s="12">
        <v>43150</v>
      </c>
      <c r="K383" t="b">
        <v>1</v>
      </c>
      <c r="L383" s="12">
        <v>43145</v>
      </c>
      <c r="M383" t="b">
        <v>1</v>
      </c>
      <c r="N383">
        <v>1</v>
      </c>
      <c r="O383">
        <v>1</v>
      </c>
      <c r="P383" s="19" t="s">
        <v>1310</v>
      </c>
      <c r="Q383" s="19" t="s">
        <v>259</v>
      </c>
      <c r="R383" s="19" t="s">
        <v>121</v>
      </c>
      <c r="S383" s="19" t="s">
        <v>148</v>
      </c>
      <c r="T383" s="16">
        <v>54.9</v>
      </c>
      <c r="U383" s="16">
        <v>25.66</v>
      </c>
      <c r="V383" s="16">
        <v>80.56</v>
      </c>
      <c r="W383" s="19" t="s">
        <v>1306</v>
      </c>
      <c r="X383" s="19" t="s">
        <v>265</v>
      </c>
      <c r="Y383" s="12">
        <v>43177</v>
      </c>
      <c r="Z383" s="12">
        <v>43171</v>
      </c>
      <c r="AA383" s="12">
        <v>43177</v>
      </c>
    </row>
    <row r="384" spans="1:27" x14ac:dyDescent="0.25">
      <c r="A384">
        <v>380</v>
      </c>
      <c r="B384" s="19" t="s">
        <v>657</v>
      </c>
      <c r="C384" s="19" t="s">
        <v>254</v>
      </c>
      <c r="D384" s="19" t="s">
        <v>261</v>
      </c>
      <c r="E384" s="19" t="s">
        <v>262</v>
      </c>
      <c r="F384" s="19" t="s">
        <v>1311</v>
      </c>
      <c r="G384" s="12">
        <v>43138</v>
      </c>
      <c r="H384" s="12">
        <v>43174</v>
      </c>
      <c r="I384">
        <v>4</v>
      </c>
      <c r="J384" s="12">
        <v>43151</v>
      </c>
      <c r="K384" t="b">
        <v>1</v>
      </c>
      <c r="L384" s="12">
        <v>43147</v>
      </c>
      <c r="M384" t="b">
        <v>1</v>
      </c>
      <c r="N384">
        <v>1</v>
      </c>
      <c r="O384">
        <v>1</v>
      </c>
      <c r="P384" s="19" t="s">
        <v>1305</v>
      </c>
      <c r="Q384" s="19" t="s">
        <v>259</v>
      </c>
      <c r="R384" s="19" t="s">
        <v>135</v>
      </c>
      <c r="S384" s="19" t="s">
        <v>122</v>
      </c>
      <c r="T384" s="16">
        <v>76.900000000000006</v>
      </c>
      <c r="U384" s="16">
        <v>16.98</v>
      </c>
      <c r="V384" s="16">
        <v>93.88</v>
      </c>
      <c r="W384" s="19" t="s">
        <v>1312</v>
      </c>
      <c r="X384" s="19" t="s">
        <v>265</v>
      </c>
      <c r="Y384" s="12">
        <v>43177</v>
      </c>
      <c r="Z384" s="12">
        <v>43171</v>
      </c>
      <c r="AA384" s="12">
        <v>43177</v>
      </c>
    </row>
    <row r="385" spans="1:27" x14ac:dyDescent="0.25">
      <c r="A385">
        <v>381</v>
      </c>
      <c r="B385" s="19" t="s">
        <v>657</v>
      </c>
      <c r="C385" s="19" t="s">
        <v>254</v>
      </c>
      <c r="D385" s="19" t="s">
        <v>261</v>
      </c>
      <c r="E385" s="19" t="s">
        <v>262</v>
      </c>
      <c r="F385" s="19" t="s">
        <v>1313</v>
      </c>
      <c r="G385" s="12">
        <v>43139</v>
      </c>
      <c r="H385" s="12">
        <v>43174</v>
      </c>
      <c r="I385">
        <v>4</v>
      </c>
      <c r="J385" s="12">
        <v>43151</v>
      </c>
      <c r="K385" t="b">
        <v>1</v>
      </c>
      <c r="L385" s="12">
        <v>43152</v>
      </c>
      <c r="M385" t="b">
        <v>1</v>
      </c>
      <c r="N385">
        <v>1</v>
      </c>
      <c r="O385">
        <v>1</v>
      </c>
      <c r="P385" s="19" t="s">
        <v>1314</v>
      </c>
      <c r="Q385" s="19" t="s">
        <v>259</v>
      </c>
      <c r="R385" s="19" t="s">
        <v>125</v>
      </c>
      <c r="S385" s="19" t="s">
        <v>122</v>
      </c>
      <c r="T385" s="16">
        <v>59</v>
      </c>
      <c r="U385" s="16">
        <v>17.98</v>
      </c>
      <c r="V385" s="16">
        <v>76.98</v>
      </c>
      <c r="W385" s="19" t="s">
        <v>1315</v>
      </c>
      <c r="X385" s="19" t="s">
        <v>265</v>
      </c>
      <c r="Y385" s="12">
        <v>43177</v>
      </c>
      <c r="Z385" s="12">
        <v>43171</v>
      </c>
      <c r="AA385" s="12">
        <v>43177</v>
      </c>
    </row>
    <row r="386" spans="1:27" x14ac:dyDescent="0.25">
      <c r="A386">
        <v>382</v>
      </c>
      <c r="B386" s="19" t="s">
        <v>657</v>
      </c>
      <c r="C386" s="19" t="s">
        <v>254</v>
      </c>
      <c r="D386" s="19" t="s">
        <v>261</v>
      </c>
      <c r="E386" s="19" t="s">
        <v>262</v>
      </c>
      <c r="F386" s="19" t="s">
        <v>1316</v>
      </c>
      <c r="G386" s="12">
        <v>43146</v>
      </c>
      <c r="H386" s="12">
        <v>43174</v>
      </c>
      <c r="I386">
        <v>4</v>
      </c>
      <c r="J386" s="12">
        <v>43152</v>
      </c>
      <c r="K386" t="b">
        <v>1</v>
      </c>
      <c r="L386" s="12">
        <v>43148</v>
      </c>
      <c r="M386" t="b">
        <v>1</v>
      </c>
      <c r="N386">
        <v>1</v>
      </c>
      <c r="O386">
        <v>1</v>
      </c>
      <c r="P386" s="19" t="s">
        <v>537</v>
      </c>
      <c r="Q386" s="19" t="s">
        <v>259</v>
      </c>
      <c r="R386" s="19" t="s">
        <v>121</v>
      </c>
      <c r="S386" s="19" t="s">
        <v>154</v>
      </c>
      <c r="T386" s="16">
        <v>120</v>
      </c>
      <c r="U386" s="16">
        <v>28.22</v>
      </c>
      <c r="V386" s="16">
        <v>148.22</v>
      </c>
      <c r="W386" s="19" t="s">
        <v>1301</v>
      </c>
      <c r="X386" s="19" t="s">
        <v>265</v>
      </c>
      <c r="Y386" s="12">
        <v>43177</v>
      </c>
      <c r="Z386" s="12">
        <v>43171</v>
      </c>
      <c r="AA386" s="12">
        <v>43177</v>
      </c>
    </row>
    <row r="387" spans="1:27" x14ac:dyDescent="0.25">
      <c r="A387">
        <v>383</v>
      </c>
      <c r="B387" s="19" t="s">
        <v>657</v>
      </c>
      <c r="C387" s="19" t="s">
        <v>254</v>
      </c>
      <c r="D387" s="19" t="s">
        <v>261</v>
      </c>
      <c r="E387" s="19" t="s">
        <v>262</v>
      </c>
      <c r="F387" s="19" t="s">
        <v>1317</v>
      </c>
      <c r="G387" s="12">
        <v>43148</v>
      </c>
      <c r="H387" s="12">
        <v>43174</v>
      </c>
      <c r="I387">
        <v>4</v>
      </c>
      <c r="J387" s="12">
        <v>43153</v>
      </c>
      <c r="K387" t="b">
        <v>1</v>
      </c>
      <c r="L387" s="12">
        <v>43154</v>
      </c>
      <c r="M387" t="b">
        <v>1</v>
      </c>
      <c r="N387">
        <v>1</v>
      </c>
      <c r="O387">
        <v>1</v>
      </c>
      <c r="P387" s="19" t="s">
        <v>1277</v>
      </c>
      <c r="Q387" s="19" t="s">
        <v>259</v>
      </c>
      <c r="R387" s="19" t="s">
        <v>121</v>
      </c>
      <c r="S387" s="19" t="s">
        <v>122</v>
      </c>
      <c r="T387" s="16">
        <v>600</v>
      </c>
      <c r="U387" s="16">
        <v>125.99</v>
      </c>
      <c r="V387" s="16">
        <v>725.99</v>
      </c>
      <c r="W387" s="19" t="s">
        <v>1318</v>
      </c>
      <c r="X387" s="19" t="s">
        <v>265</v>
      </c>
      <c r="Y387" s="12">
        <v>43177</v>
      </c>
      <c r="Z387" s="12">
        <v>43171</v>
      </c>
      <c r="AA387" s="12">
        <v>43177</v>
      </c>
    </row>
    <row r="388" spans="1:27" x14ac:dyDescent="0.25">
      <c r="A388">
        <v>384</v>
      </c>
      <c r="B388" s="19" t="s">
        <v>657</v>
      </c>
      <c r="C388" s="19" t="s">
        <v>254</v>
      </c>
      <c r="D388" s="19" t="s">
        <v>261</v>
      </c>
      <c r="E388" s="19" t="s">
        <v>262</v>
      </c>
      <c r="F388" s="19" t="s">
        <v>1319</v>
      </c>
      <c r="G388" s="12">
        <v>43146</v>
      </c>
      <c r="H388" s="12">
        <v>43174</v>
      </c>
      <c r="I388">
        <v>4</v>
      </c>
      <c r="J388" s="12">
        <v>43153</v>
      </c>
      <c r="K388" t="b">
        <v>1</v>
      </c>
      <c r="L388" s="12">
        <v>43150</v>
      </c>
      <c r="M388" t="b">
        <v>1</v>
      </c>
      <c r="N388">
        <v>1</v>
      </c>
      <c r="O388">
        <v>1</v>
      </c>
      <c r="P388" s="19" t="s">
        <v>634</v>
      </c>
      <c r="Q388" s="19" t="s">
        <v>259</v>
      </c>
      <c r="R388" s="19" t="s">
        <v>121</v>
      </c>
      <c r="S388" s="19" t="s">
        <v>122</v>
      </c>
      <c r="T388" s="16">
        <v>255</v>
      </c>
      <c r="U388" s="16">
        <v>16.54</v>
      </c>
      <c r="V388" s="16">
        <v>271.54000000000002</v>
      </c>
      <c r="W388" s="19" t="s">
        <v>1308</v>
      </c>
      <c r="X388" s="19" t="s">
        <v>265</v>
      </c>
      <c r="Y388" s="12">
        <v>43177</v>
      </c>
      <c r="Z388" s="12">
        <v>43171</v>
      </c>
      <c r="AA388" s="12">
        <v>43177</v>
      </c>
    </row>
    <row r="389" spans="1:27" x14ac:dyDescent="0.25">
      <c r="A389">
        <v>385</v>
      </c>
      <c r="B389" s="19" t="s">
        <v>657</v>
      </c>
      <c r="C389" s="19" t="s">
        <v>254</v>
      </c>
      <c r="D389" s="19" t="s">
        <v>261</v>
      </c>
      <c r="E389" s="19" t="s">
        <v>262</v>
      </c>
      <c r="F389" s="19" t="s">
        <v>1320</v>
      </c>
      <c r="G389" s="12">
        <v>43147</v>
      </c>
      <c r="H389" s="12">
        <v>43174</v>
      </c>
      <c r="I389">
        <v>4</v>
      </c>
      <c r="J389" s="12">
        <v>43153</v>
      </c>
      <c r="K389" t="b">
        <v>1</v>
      </c>
      <c r="L389" s="12">
        <v>43147</v>
      </c>
      <c r="M389" t="b">
        <v>1</v>
      </c>
      <c r="N389">
        <v>1</v>
      </c>
      <c r="O389">
        <v>1</v>
      </c>
      <c r="P389" s="19" t="s">
        <v>1321</v>
      </c>
      <c r="Q389" s="19" t="s">
        <v>259</v>
      </c>
      <c r="R389" s="19" t="s">
        <v>121</v>
      </c>
      <c r="S389" s="19" t="s">
        <v>122</v>
      </c>
      <c r="T389" s="16">
        <v>179.8</v>
      </c>
      <c r="U389" s="16">
        <v>18.510000000000002</v>
      </c>
      <c r="V389" s="16">
        <v>198.31</v>
      </c>
      <c r="W389" s="19" t="s">
        <v>1312</v>
      </c>
      <c r="X389" s="19" t="s">
        <v>265</v>
      </c>
      <c r="Y389" s="12">
        <v>43177</v>
      </c>
      <c r="Z389" s="12">
        <v>43171</v>
      </c>
      <c r="AA389" s="12">
        <v>43177</v>
      </c>
    </row>
    <row r="390" spans="1:27" x14ac:dyDescent="0.25">
      <c r="A390">
        <v>386</v>
      </c>
      <c r="B390" s="19" t="s">
        <v>657</v>
      </c>
      <c r="C390" s="19" t="s">
        <v>254</v>
      </c>
      <c r="D390" s="19" t="s">
        <v>261</v>
      </c>
      <c r="E390" s="19" t="s">
        <v>262</v>
      </c>
      <c r="F390" s="19" t="s">
        <v>1322</v>
      </c>
      <c r="G390" s="12">
        <v>43142</v>
      </c>
      <c r="H390" s="12">
        <v>43174</v>
      </c>
      <c r="I390">
        <v>4</v>
      </c>
      <c r="J390" s="12">
        <v>43153</v>
      </c>
      <c r="K390" t="b">
        <v>1</v>
      </c>
      <c r="L390" s="12">
        <v>43153</v>
      </c>
      <c r="M390" t="b">
        <v>1</v>
      </c>
      <c r="N390">
        <v>1</v>
      </c>
      <c r="O390">
        <v>1</v>
      </c>
      <c r="P390" s="19" t="s">
        <v>367</v>
      </c>
      <c r="Q390" s="19" t="s">
        <v>259</v>
      </c>
      <c r="R390" s="19" t="s">
        <v>121</v>
      </c>
      <c r="S390" s="19" t="s">
        <v>184</v>
      </c>
      <c r="T390" s="16">
        <v>114.9</v>
      </c>
      <c r="U390" s="16">
        <v>33.25</v>
      </c>
      <c r="V390" s="16">
        <v>148.15</v>
      </c>
      <c r="W390" s="19" t="s">
        <v>1323</v>
      </c>
      <c r="X390" s="19" t="s">
        <v>265</v>
      </c>
      <c r="Y390" s="12">
        <v>43177</v>
      </c>
      <c r="Z390" s="12">
        <v>43171</v>
      </c>
      <c r="AA390" s="12">
        <v>43177</v>
      </c>
    </row>
    <row r="391" spans="1:27" x14ac:dyDescent="0.25">
      <c r="A391">
        <v>387</v>
      </c>
      <c r="B391" s="19" t="s">
        <v>657</v>
      </c>
      <c r="C391" s="19" t="s">
        <v>254</v>
      </c>
      <c r="D391" s="19" t="s">
        <v>261</v>
      </c>
      <c r="E391" s="19" t="s">
        <v>262</v>
      </c>
      <c r="F391" s="19" t="s">
        <v>1324</v>
      </c>
      <c r="G391" s="12">
        <v>43146</v>
      </c>
      <c r="H391" s="12">
        <v>43174</v>
      </c>
      <c r="I391">
        <v>4</v>
      </c>
      <c r="J391" s="12">
        <v>43153</v>
      </c>
      <c r="K391" t="b">
        <v>1</v>
      </c>
      <c r="L391" s="12">
        <v>43151</v>
      </c>
      <c r="M391" t="b">
        <v>1</v>
      </c>
      <c r="N391">
        <v>1</v>
      </c>
      <c r="O391">
        <v>1</v>
      </c>
      <c r="P391" s="19" t="s">
        <v>642</v>
      </c>
      <c r="Q391" s="19" t="s">
        <v>259</v>
      </c>
      <c r="R391" s="19" t="s">
        <v>121</v>
      </c>
      <c r="S391" s="19" t="s">
        <v>138</v>
      </c>
      <c r="T391" s="16">
        <v>56.99</v>
      </c>
      <c r="U391" s="16">
        <v>16.16</v>
      </c>
      <c r="V391" s="16">
        <v>73.150000000000006</v>
      </c>
      <c r="W391" s="19" t="s">
        <v>1303</v>
      </c>
      <c r="X391" s="19" t="s">
        <v>265</v>
      </c>
      <c r="Y391" s="12">
        <v>43177</v>
      </c>
      <c r="Z391" s="12">
        <v>43171</v>
      </c>
      <c r="AA391" s="12">
        <v>43177</v>
      </c>
    </row>
    <row r="392" spans="1:27" x14ac:dyDescent="0.25">
      <c r="A392">
        <v>388</v>
      </c>
      <c r="B392" s="19" t="s">
        <v>657</v>
      </c>
      <c r="C392" s="19" t="s">
        <v>254</v>
      </c>
      <c r="D392" s="19" t="s">
        <v>261</v>
      </c>
      <c r="E392" s="19" t="s">
        <v>262</v>
      </c>
      <c r="F392" s="19" t="s">
        <v>1325</v>
      </c>
      <c r="G392" s="12">
        <v>43149</v>
      </c>
      <c r="H392" s="12">
        <v>43174</v>
      </c>
      <c r="I392">
        <v>4</v>
      </c>
      <c r="J392" s="12">
        <v>43153</v>
      </c>
      <c r="K392" t="b">
        <v>1</v>
      </c>
      <c r="L392" s="12">
        <v>43152</v>
      </c>
      <c r="M392" t="b">
        <v>1</v>
      </c>
      <c r="N392">
        <v>1</v>
      </c>
      <c r="O392">
        <v>1</v>
      </c>
      <c r="P392" s="19" t="s">
        <v>664</v>
      </c>
      <c r="Q392" s="19" t="s">
        <v>259</v>
      </c>
      <c r="R392" s="19" t="s">
        <v>121</v>
      </c>
      <c r="S392" s="19" t="s">
        <v>135</v>
      </c>
      <c r="T392" s="16">
        <v>47.49</v>
      </c>
      <c r="U392" s="16">
        <v>16.11</v>
      </c>
      <c r="V392" s="16">
        <v>63.6</v>
      </c>
      <c r="W392" s="19" t="s">
        <v>1315</v>
      </c>
      <c r="X392" s="19" t="s">
        <v>265</v>
      </c>
      <c r="Y392" s="12">
        <v>43177</v>
      </c>
      <c r="Z392" s="12">
        <v>43171</v>
      </c>
      <c r="AA392" s="12">
        <v>43177</v>
      </c>
    </row>
    <row r="393" spans="1:27" x14ac:dyDescent="0.25">
      <c r="A393">
        <v>389</v>
      </c>
      <c r="B393" s="19" t="s">
        <v>657</v>
      </c>
      <c r="C393" s="19" t="s">
        <v>254</v>
      </c>
      <c r="D393" s="19" t="s">
        <v>261</v>
      </c>
      <c r="E393" s="19" t="s">
        <v>262</v>
      </c>
      <c r="F393" s="19" t="s">
        <v>1326</v>
      </c>
      <c r="G393" s="12">
        <v>43149</v>
      </c>
      <c r="H393" s="12">
        <v>43174</v>
      </c>
      <c r="I393">
        <v>4</v>
      </c>
      <c r="J393" s="12">
        <v>43153</v>
      </c>
      <c r="K393" t="b">
        <v>1</v>
      </c>
      <c r="L393" s="12">
        <v>43164</v>
      </c>
      <c r="M393" t="b">
        <v>1</v>
      </c>
      <c r="N393">
        <v>1</v>
      </c>
      <c r="O393">
        <v>1</v>
      </c>
      <c r="P393" s="19" t="s">
        <v>664</v>
      </c>
      <c r="Q393" s="19" t="s">
        <v>259</v>
      </c>
      <c r="R393" s="19" t="s">
        <v>121</v>
      </c>
      <c r="S393" s="19" t="s">
        <v>125</v>
      </c>
      <c r="T393" s="16">
        <v>39.49</v>
      </c>
      <c r="U393" s="16">
        <v>15.1</v>
      </c>
      <c r="V393" s="16">
        <v>54.59</v>
      </c>
      <c r="W393" s="19" t="s">
        <v>1327</v>
      </c>
      <c r="X393" s="19" t="s">
        <v>265</v>
      </c>
      <c r="Y393" s="12">
        <v>43177</v>
      </c>
      <c r="Z393" s="12">
        <v>43171</v>
      </c>
      <c r="AA393" s="12">
        <v>43177</v>
      </c>
    </row>
    <row r="394" spans="1:27" x14ac:dyDescent="0.25">
      <c r="A394">
        <v>390</v>
      </c>
      <c r="B394" s="19" t="s">
        <v>657</v>
      </c>
      <c r="C394" s="19" t="s">
        <v>254</v>
      </c>
      <c r="D394" s="19" t="s">
        <v>261</v>
      </c>
      <c r="E394" s="19" t="s">
        <v>262</v>
      </c>
      <c r="F394" s="19" t="s">
        <v>1328</v>
      </c>
      <c r="G394" s="12">
        <v>43147</v>
      </c>
      <c r="H394" s="12">
        <v>43174</v>
      </c>
      <c r="I394">
        <v>4</v>
      </c>
      <c r="J394" s="12">
        <v>43153</v>
      </c>
      <c r="K394" t="b">
        <v>1</v>
      </c>
      <c r="L394" s="12">
        <v>43151</v>
      </c>
      <c r="M394" t="b">
        <v>1</v>
      </c>
      <c r="N394">
        <v>1</v>
      </c>
      <c r="O394">
        <v>1</v>
      </c>
      <c r="P394" s="19" t="s">
        <v>705</v>
      </c>
      <c r="Q394" s="19" t="s">
        <v>259</v>
      </c>
      <c r="R394" s="19" t="s">
        <v>125</v>
      </c>
      <c r="S394" s="19" t="s">
        <v>121</v>
      </c>
      <c r="T394" s="16">
        <v>29.5</v>
      </c>
      <c r="U394" s="16">
        <v>16.11</v>
      </c>
      <c r="V394" s="16">
        <v>45.61</v>
      </c>
      <c r="W394" s="19" t="s">
        <v>1303</v>
      </c>
      <c r="X394" s="19" t="s">
        <v>265</v>
      </c>
      <c r="Y394" s="12">
        <v>43177</v>
      </c>
      <c r="Z394" s="12">
        <v>43171</v>
      </c>
      <c r="AA394" s="12">
        <v>43177</v>
      </c>
    </row>
    <row r="395" spans="1:27" x14ac:dyDescent="0.25">
      <c r="A395">
        <v>391</v>
      </c>
      <c r="B395" s="19" t="s">
        <v>657</v>
      </c>
      <c r="C395" s="19" t="s">
        <v>254</v>
      </c>
      <c r="D395" s="19" t="s">
        <v>261</v>
      </c>
      <c r="E395" s="19" t="s">
        <v>262</v>
      </c>
      <c r="F395" s="19" t="s">
        <v>1329</v>
      </c>
      <c r="G395" s="12">
        <v>43146</v>
      </c>
      <c r="H395" s="12">
        <v>43174</v>
      </c>
      <c r="I395">
        <v>4</v>
      </c>
      <c r="J395" s="12">
        <v>43153</v>
      </c>
      <c r="K395" t="b">
        <v>1</v>
      </c>
      <c r="L395" s="12">
        <v>43153</v>
      </c>
      <c r="M395" t="b">
        <v>1</v>
      </c>
      <c r="N395">
        <v>1</v>
      </c>
      <c r="O395">
        <v>1</v>
      </c>
      <c r="P395" s="19" t="s">
        <v>405</v>
      </c>
      <c r="Q395" s="19" t="s">
        <v>259</v>
      </c>
      <c r="R395" s="19" t="s">
        <v>121</v>
      </c>
      <c r="S395" s="19" t="s">
        <v>178</v>
      </c>
      <c r="T395" s="16">
        <v>13.65</v>
      </c>
      <c r="U395" s="16">
        <v>21.15</v>
      </c>
      <c r="V395" s="16">
        <v>34.799999999999997</v>
      </c>
      <c r="W395" s="19" t="s">
        <v>1323</v>
      </c>
      <c r="X395" s="19" t="s">
        <v>265</v>
      </c>
      <c r="Y395" s="12">
        <v>43177</v>
      </c>
      <c r="Z395" s="12">
        <v>43171</v>
      </c>
      <c r="AA395" s="12">
        <v>43177</v>
      </c>
    </row>
    <row r="396" spans="1:27" x14ac:dyDescent="0.25">
      <c r="A396">
        <v>392</v>
      </c>
      <c r="B396" s="19" t="s">
        <v>657</v>
      </c>
      <c r="C396" s="19" t="s">
        <v>254</v>
      </c>
      <c r="D396" s="19" t="s">
        <v>261</v>
      </c>
      <c r="E396" s="19" t="s">
        <v>262</v>
      </c>
      <c r="F396" s="19" t="s">
        <v>1330</v>
      </c>
      <c r="G396" s="12">
        <v>43150</v>
      </c>
      <c r="H396" s="12">
        <v>43174</v>
      </c>
      <c r="I396">
        <v>4</v>
      </c>
      <c r="J396" s="12">
        <v>43154</v>
      </c>
      <c r="K396" t="b">
        <v>1</v>
      </c>
      <c r="L396" s="12">
        <v>43151</v>
      </c>
      <c r="M396" t="b">
        <v>1</v>
      </c>
      <c r="N396">
        <v>1</v>
      </c>
      <c r="O396">
        <v>1</v>
      </c>
      <c r="P396" s="19" t="s">
        <v>1331</v>
      </c>
      <c r="Q396" s="19" t="s">
        <v>259</v>
      </c>
      <c r="R396" s="19" t="s">
        <v>121</v>
      </c>
      <c r="S396" s="19" t="s">
        <v>122</v>
      </c>
      <c r="T396" s="16">
        <v>181.62</v>
      </c>
      <c r="U396" s="16">
        <v>17.52</v>
      </c>
      <c r="V396" s="16">
        <v>199.14</v>
      </c>
      <c r="W396" s="19" t="s">
        <v>1303</v>
      </c>
      <c r="X396" s="19" t="s">
        <v>265</v>
      </c>
      <c r="Y396" s="12">
        <v>43177</v>
      </c>
      <c r="Z396" s="12">
        <v>43171</v>
      </c>
      <c r="AA396" s="12">
        <v>43177</v>
      </c>
    </row>
    <row r="397" spans="1:27" x14ac:dyDescent="0.25">
      <c r="A397">
        <v>393</v>
      </c>
      <c r="B397" s="19" t="s">
        <v>657</v>
      </c>
      <c r="C397" s="19" t="s">
        <v>254</v>
      </c>
      <c r="D397" s="19" t="s">
        <v>261</v>
      </c>
      <c r="E397" s="19" t="s">
        <v>262</v>
      </c>
      <c r="F397" s="19" t="s">
        <v>1332</v>
      </c>
      <c r="G397" s="12">
        <v>43150</v>
      </c>
      <c r="H397" s="12">
        <v>43174</v>
      </c>
      <c r="I397">
        <v>4</v>
      </c>
      <c r="J397" s="12">
        <v>43154</v>
      </c>
      <c r="K397" t="b">
        <v>1</v>
      </c>
      <c r="L397" s="12">
        <v>43151</v>
      </c>
      <c r="M397" t="b">
        <v>1</v>
      </c>
      <c r="N397">
        <v>1</v>
      </c>
      <c r="O397">
        <v>1</v>
      </c>
      <c r="P397" s="19" t="s">
        <v>396</v>
      </c>
      <c r="Q397" s="19" t="s">
        <v>259</v>
      </c>
      <c r="R397" s="19" t="s">
        <v>131</v>
      </c>
      <c r="S397" s="19" t="s">
        <v>129</v>
      </c>
      <c r="T397" s="16">
        <v>59.9</v>
      </c>
      <c r="U397" s="16">
        <v>19.66</v>
      </c>
      <c r="V397" s="16">
        <v>79.56</v>
      </c>
      <c r="W397" s="19" t="s">
        <v>1303</v>
      </c>
      <c r="X397" s="19" t="s">
        <v>265</v>
      </c>
      <c r="Y397" s="12">
        <v>43177</v>
      </c>
      <c r="Z397" s="12">
        <v>43171</v>
      </c>
      <c r="AA397" s="12">
        <v>43177</v>
      </c>
    </row>
    <row r="398" spans="1:27" x14ac:dyDescent="0.25">
      <c r="A398">
        <v>394</v>
      </c>
      <c r="B398" s="19" t="s">
        <v>657</v>
      </c>
      <c r="C398" s="19" t="s">
        <v>254</v>
      </c>
      <c r="D398" s="19" t="s">
        <v>261</v>
      </c>
      <c r="E398" s="19" t="s">
        <v>262</v>
      </c>
      <c r="F398" s="19" t="s">
        <v>1333</v>
      </c>
      <c r="G398" s="12">
        <v>43150</v>
      </c>
      <c r="H398" s="12">
        <v>43174</v>
      </c>
      <c r="I398">
        <v>4</v>
      </c>
      <c r="J398" s="12">
        <v>43156</v>
      </c>
      <c r="K398" t="b">
        <v>1</v>
      </c>
      <c r="L398" s="12">
        <v>43157</v>
      </c>
      <c r="M398" t="b">
        <v>1</v>
      </c>
      <c r="N398">
        <v>1</v>
      </c>
      <c r="O398">
        <v>1</v>
      </c>
      <c r="P398" s="19" t="s">
        <v>405</v>
      </c>
      <c r="Q398" s="19" t="s">
        <v>259</v>
      </c>
      <c r="R398" s="19" t="s">
        <v>121</v>
      </c>
      <c r="S398" s="19" t="s">
        <v>164</v>
      </c>
      <c r="T398" s="16">
        <v>13.65</v>
      </c>
      <c r="U398" s="16">
        <v>15.1</v>
      </c>
      <c r="V398" s="16">
        <v>28.75</v>
      </c>
      <c r="W398" s="19" t="s">
        <v>1334</v>
      </c>
      <c r="X398" s="19" t="s">
        <v>265</v>
      </c>
      <c r="Y398" s="12">
        <v>43177</v>
      </c>
      <c r="Z398" s="12">
        <v>43171</v>
      </c>
      <c r="AA398" s="12">
        <v>43177</v>
      </c>
    </row>
    <row r="399" spans="1:27" x14ac:dyDescent="0.25">
      <c r="A399">
        <v>395</v>
      </c>
      <c r="B399" s="19" t="s">
        <v>657</v>
      </c>
      <c r="C399" s="19" t="s">
        <v>254</v>
      </c>
      <c r="D399" s="19" t="s">
        <v>261</v>
      </c>
      <c r="E399" s="19" t="s">
        <v>262</v>
      </c>
      <c r="F399" s="19" t="s">
        <v>1335</v>
      </c>
      <c r="G399" s="12">
        <v>43151</v>
      </c>
      <c r="H399" s="12">
        <v>43174</v>
      </c>
      <c r="I399">
        <v>4</v>
      </c>
      <c r="J399" s="12">
        <v>43157</v>
      </c>
      <c r="K399" t="b">
        <v>1</v>
      </c>
      <c r="L399" s="12">
        <v>43152</v>
      </c>
      <c r="M399" t="b">
        <v>1</v>
      </c>
      <c r="N399">
        <v>1</v>
      </c>
      <c r="O399">
        <v>1</v>
      </c>
      <c r="P399" s="19" t="s">
        <v>634</v>
      </c>
      <c r="Q399" s="19" t="s">
        <v>259</v>
      </c>
      <c r="R399" s="19" t="s">
        <v>121</v>
      </c>
      <c r="S399" s="19" t="s">
        <v>122</v>
      </c>
      <c r="T399" s="16">
        <v>349</v>
      </c>
      <c r="U399" s="16">
        <v>17.190000000000001</v>
      </c>
      <c r="V399" s="16">
        <v>366.19</v>
      </c>
      <c r="W399" s="19" t="s">
        <v>1315</v>
      </c>
      <c r="X399" s="19" t="s">
        <v>265</v>
      </c>
      <c r="Y399" s="12">
        <v>43177</v>
      </c>
      <c r="Z399" s="12">
        <v>43171</v>
      </c>
      <c r="AA399" s="12">
        <v>43177</v>
      </c>
    </row>
    <row r="400" spans="1:27" x14ac:dyDescent="0.25">
      <c r="A400">
        <v>396</v>
      </c>
      <c r="B400" s="19" t="s">
        <v>657</v>
      </c>
      <c r="C400" s="19" t="s">
        <v>254</v>
      </c>
      <c r="D400" s="19" t="s">
        <v>261</v>
      </c>
      <c r="E400" s="19" t="s">
        <v>262</v>
      </c>
      <c r="F400" s="19" t="s">
        <v>1336</v>
      </c>
      <c r="G400" s="12">
        <v>43150</v>
      </c>
      <c r="H400" s="12">
        <v>43174</v>
      </c>
      <c r="I400">
        <v>4</v>
      </c>
      <c r="J400" s="12">
        <v>43157</v>
      </c>
      <c r="K400" t="b">
        <v>1</v>
      </c>
      <c r="L400" s="12">
        <v>43153</v>
      </c>
      <c r="M400" t="b">
        <v>1</v>
      </c>
      <c r="N400">
        <v>1</v>
      </c>
      <c r="O400">
        <v>1</v>
      </c>
      <c r="P400" s="19" t="s">
        <v>367</v>
      </c>
      <c r="Q400" s="19" t="s">
        <v>259</v>
      </c>
      <c r="R400" s="19" t="s">
        <v>121</v>
      </c>
      <c r="S400" s="19" t="s">
        <v>129</v>
      </c>
      <c r="T400" s="16">
        <v>170</v>
      </c>
      <c r="U400" s="16">
        <v>20.43</v>
      </c>
      <c r="V400" s="16">
        <v>190.43</v>
      </c>
      <c r="W400" s="19" t="s">
        <v>1323</v>
      </c>
      <c r="X400" s="19" t="s">
        <v>265</v>
      </c>
      <c r="Y400" s="12">
        <v>43177</v>
      </c>
      <c r="Z400" s="12">
        <v>43171</v>
      </c>
      <c r="AA400" s="12">
        <v>43177</v>
      </c>
    </row>
    <row r="401" spans="1:27" x14ac:dyDescent="0.25">
      <c r="A401">
        <v>397</v>
      </c>
      <c r="B401" s="19" t="s">
        <v>657</v>
      </c>
      <c r="C401" s="19" t="s">
        <v>254</v>
      </c>
      <c r="D401" s="19" t="s">
        <v>261</v>
      </c>
      <c r="E401" s="19" t="s">
        <v>262</v>
      </c>
      <c r="F401" s="19" t="s">
        <v>1337</v>
      </c>
      <c r="G401" s="12">
        <v>43148</v>
      </c>
      <c r="H401" s="12">
        <v>43174</v>
      </c>
      <c r="I401">
        <v>4</v>
      </c>
      <c r="J401" s="12">
        <v>43157</v>
      </c>
      <c r="K401" t="b">
        <v>1</v>
      </c>
      <c r="L401" s="12">
        <v>43151</v>
      </c>
      <c r="M401" t="b">
        <v>1</v>
      </c>
      <c r="N401">
        <v>1</v>
      </c>
      <c r="O401">
        <v>1</v>
      </c>
      <c r="P401" s="19" t="s">
        <v>1338</v>
      </c>
      <c r="Q401" s="19" t="s">
        <v>259</v>
      </c>
      <c r="R401" s="19" t="s">
        <v>121</v>
      </c>
      <c r="S401" s="19" t="s">
        <v>135</v>
      </c>
      <c r="T401" s="16">
        <v>59.9</v>
      </c>
      <c r="U401" s="16">
        <v>15.17</v>
      </c>
      <c r="V401" s="16">
        <v>75.069999999999993</v>
      </c>
      <c r="W401" s="19" t="s">
        <v>1303</v>
      </c>
      <c r="X401" s="19" t="s">
        <v>265</v>
      </c>
      <c r="Y401" s="12">
        <v>43177</v>
      </c>
      <c r="Z401" s="12">
        <v>43171</v>
      </c>
      <c r="AA401" s="12">
        <v>43177</v>
      </c>
    </row>
    <row r="402" spans="1:27" x14ac:dyDescent="0.25">
      <c r="A402">
        <v>398</v>
      </c>
      <c r="B402" s="19" t="s">
        <v>657</v>
      </c>
      <c r="C402" s="19" t="s">
        <v>254</v>
      </c>
      <c r="D402" s="19" t="s">
        <v>261</v>
      </c>
      <c r="E402" s="19" t="s">
        <v>262</v>
      </c>
      <c r="F402" s="19" t="s">
        <v>1339</v>
      </c>
      <c r="G402" s="12">
        <v>43151</v>
      </c>
      <c r="H402" s="12">
        <v>43174</v>
      </c>
      <c r="I402">
        <v>4</v>
      </c>
      <c r="J402" s="12">
        <v>43157</v>
      </c>
      <c r="K402" t="b">
        <v>1</v>
      </c>
      <c r="L402" s="12">
        <v>43158</v>
      </c>
      <c r="M402" t="b">
        <v>1</v>
      </c>
      <c r="N402">
        <v>1</v>
      </c>
      <c r="O402">
        <v>1</v>
      </c>
      <c r="P402" s="19" t="s">
        <v>1340</v>
      </c>
      <c r="Q402" s="19" t="s">
        <v>259</v>
      </c>
      <c r="R402" s="19" t="s">
        <v>135</v>
      </c>
      <c r="S402" s="19" t="s">
        <v>122</v>
      </c>
      <c r="T402" s="16">
        <v>35</v>
      </c>
      <c r="U402" s="16">
        <v>17.920000000000002</v>
      </c>
      <c r="V402" s="16">
        <v>52.92</v>
      </c>
      <c r="W402" s="19" t="s">
        <v>1341</v>
      </c>
      <c r="X402" s="19" t="s">
        <v>265</v>
      </c>
      <c r="Y402" s="12">
        <v>43177</v>
      </c>
      <c r="Z402" s="12">
        <v>43171</v>
      </c>
      <c r="AA402" s="12">
        <v>43177</v>
      </c>
    </row>
    <row r="403" spans="1:27" x14ac:dyDescent="0.25">
      <c r="A403">
        <v>399</v>
      </c>
      <c r="B403" s="19" t="s">
        <v>657</v>
      </c>
      <c r="C403" s="19" t="s">
        <v>254</v>
      </c>
      <c r="D403" s="19" t="s">
        <v>261</v>
      </c>
      <c r="E403" s="19" t="s">
        <v>262</v>
      </c>
      <c r="F403" s="19" t="s">
        <v>1342</v>
      </c>
      <c r="G403" s="12">
        <v>43152</v>
      </c>
      <c r="H403" s="12">
        <v>43174</v>
      </c>
      <c r="I403">
        <v>4</v>
      </c>
      <c r="J403" s="12">
        <v>43158</v>
      </c>
      <c r="K403" t="b">
        <v>1</v>
      </c>
      <c r="L403" s="12">
        <v>43154</v>
      </c>
      <c r="M403" t="b">
        <v>1</v>
      </c>
      <c r="N403">
        <v>1</v>
      </c>
      <c r="O403">
        <v>1</v>
      </c>
      <c r="P403" s="19" t="s">
        <v>456</v>
      </c>
      <c r="Q403" s="19" t="s">
        <v>259</v>
      </c>
      <c r="R403" s="19" t="s">
        <v>121</v>
      </c>
      <c r="S403" s="19" t="s">
        <v>125</v>
      </c>
      <c r="T403" s="16">
        <v>299.89999999999998</v>
      </c>
      <c r="U403" s="16">
        <v>18.350000000000001</v>
      </c>
      <c r="V403" s="16">
        <v>318.25</v>
      </c>
      <c r="W403" s="19" t="s">
        <v>1318</v>
      </c>
      <c r="X403" s="19" t="s">
        <v>265</v>
      </c>
      <c r="Y403" s="12">
        <v>43177</v>
      </c>
      <c r="Z403" s="12">
        <v>43171</v>
      </c>
      <c r="AA403" s="12">
        <v>43177</v>
      </c>
    </row>
    <row r="404" spans="1:27" x14ac:dyDescent="0.25">
      <c r="A404">
        <v>400</v>
      </c>
      <c r="B404" s="19" t="s">
        <v>657</v>
      </c>
      <c r="C404" s="19" t="s">
        <v>254</v>
      </c>
      <c r="D404" s="19" t="s">
        <v>261</v>
      </c>
      <c r="E404" s="19" t="s">
        <v>262</v>
      </c>
      <c r="F404" s="19" t="s">
        <v>1343</v>
      </c>
      <c r="G404" s="12">
        <v>43152</v>
      </c>
      <c r="H404" s="12">
        <v>43174</v>
      </c>
      <c r="I404">
        <v>4</v>
      </c>
      <c r="J404" s="12">
        <v>43158</v>
      </c>
      <c r="K404" t="b">
        <v>1</v>
      </c>
      <c r="L404" s="12">
        <v>43157</v>
      </c>
      <c r="M404" t="b">
        <v>1</v>
      </c>
      <c r="N404">
        <v>1</v>
      </c>
      <c r="O404">
        <v>1</v>
      </c>
      <c r="P404" s="19" t="s">
        <v>593</v>
      </c>
      <c r="Q404" s="19" t="s">
        <v>259</v>
      </c>
      <c r="R404" s="19" t="s">
        <v>121</v>
      </c>
      <c r="S404" s="19" t="s">
        <v>122</v>
      </c>
      <c r="T404" s="16">
        <v>140</v>
      </c>
      <c r="U404" s="16">
        <v>18.23</v>
      </c>
      <c r="V404" s="16">
        <v>158.22999999999999</v>
      </c>
      <c r="W404" s="19" t="s">
        <v>1334</v>
      </c>
      <c r="X404" s="19" t="s">
        <v>265</v>
      </c>
      <c r="Y404" s="12">
        <v>43177</v>
      </c>
      <c r="Z404" s="12">
        <v>43171</v>
      </c>
      <c r="AA404" s="12">
        <v>43177</v>
      </c>
    </row>
    <row r="405" spans="1:27" x14ac:dyDescent="0.25">
      <c r="A405">
        <v>401</v>
      </c>
      <c r="B405" s="19" t="s">
        <v>657</v>
      </c>
      <c r="C405" s="19" t="s">
        <v>254</v>
      </c>
      <c r="D405" s="19" t="s">
        <v>261</v>
      </c>
      <c r="E405" s="19" t="s">
        <v>262</v>
      </c>
      <c r="F405" s="19" t="s">
        <v>1344</v>
      </c>
      <c r="G405" s="12">
        <v>43147</v>
      </c>
      <c r="H405" s="12">
        <v>43174</v>
      </c>
      <c r="I405">
        <v>4</v>
      </c>
      <c r="J405" s="12">
        <v>43158</v>
      </c>
      <c r="K405" t="b">
        <v>1</v>
      </c>
      <c r="L405" s="12">
        <v>43153</v>
      </c>
      <c r="M405" t="b">
        <v>1</v>
      </c>
      <c r="N405">
        <v>1</v>
      </c>
      <c r="O405">
        <v>1</v>
      </c>
      <c r="P405" s="19" t="s">
        <v>1300</v>
      </c>
      <c r="Q405" s="19" t="s">
        <v>259</v>
      </c>
      <c r="R405" s="19" t="s">
        <v>121</v>
      </c>
      <c r="S405" s="19" t="s">
        <v>152</v>
      </c>
      <c r="T405" s="16">
        <v>114.9</v>
      </c>
      <c r="U405" s="16">
        <v>29.2</v>
      </c>
      <c r="V405" s="16">
        <v>144.1</v>
      </c>
      <c r="W405" s="19" t="s">
        <v>1323</v>
      </c>
      <c r="X405" s="19" t="s">
        <v>265</v>
      </c>
      <c r="Y405" s="12">
        <v>43177</v>
      </c>
      <c r="Z405" s="12">
        <v>43171</v>
      </c>
      <c r="AA405" s="12">
        <v>43177</v>
      </c>
    </row>
    <row r="406" spans="1:27" x14ac:dyDescent="0.25">
      <c r="A406">
        <v>402</v>
      </c>
      <c r="B406" s="19" t="s">
        <v>657</v>
      </c>
      <c r="C406" s="19" t="s">
        <v>254</v>
      </c>
      <c r="D406" s="19" t="s">
        <v>261</v>
      </c>
      <c r="E406" s="19" t="s">
        <v>262</v>
      </c>
      <c r="F406" s="19" t="s">
        <v>1345</v>
      </c>
      <c r="G406" s="12">
        <v>43152</v>
      </c>
      <c r="H406" s="12">
        <v>43174</v>
      </c>
      <c r="I406">
        <v>4</v>
      </c>
      <c r="J406" s="12">
        <v>43158</v>
      </c>
      <c r="K406" t="b">
        <v>1</v>
      </c>
      <c r="L406" s="12">
        <v>43157</v>
      </c>
      <c r="M406" t="b">
        <v>1</v>
      </c>
      <c r="N406">
        <v>1</v>
      </c>
      <c r="O406">
        <v>1</v>
      </c>
      <c r="P406" s="19" t="s">
        <v>600</v>
      </c>
      <c r="Q406" s="19" t="s">
        <v>259</v>
      </c>
      <c r="R406" s="19" t="s">
        <v>121</v>
      </c>
      <c r="S406" s="19" t="s">
        <v>127</v>
      </c>
      <c r="T406" s="16">
        <v>99.9</v>
      </c>
      <c r="U406" s="16">
        <v>20.190000000000001</v>
      </c>
      <c r="V406" s="16">
        <v>120.09</v>
      </c>
      <c r="W406" s="19" t="s">
        <v>1334</v>
      </c>
      <c r="X406" s="19" t="s">
        <v>265</v>
      </c>
      <c r="Y406" s="12">
        <v>43177</v>
      </c>
      <c r="Z406" s="12">
        <v>43171</v>
      </c>
      <c r="AA406" s="12">
        <v>43177</v>
      </c>
    </row>
    <row r="407" spans="1:27" x14ac:dyDescent="0.25">
      <c r="A407">
        <v>403</v>
      </c>
      <c r="B407" s="19" t="s">
        <v>657</v>
      </c>
      <c r="C407" s="19" t="s">
        <v>254</v>
      </c>
      <c r="D407" s="19" t="s">
        <v>261</v>
      </c>
      <c r="E407" s="19" t="s">
        <v>262</v>
      </c>
      <c r="F407" s="19" t="s">
        <v>1346</v>
      </c>
      <c r="G407" s="12">
        <v>43152</v>
      </c>
      <c r="H407" s="12">
        <v>43174</v>
      </c>
      <c r="I407">
        <v>4</v>
      </c>
      <c r="J407" s="12">
        <v>43158</v>
      </c>
      <c r="K407" t="b">
        <v>1</v>
      </c>
      <c r="L407" s="12">
        <v>43155</v>
      </c>
      <c r="M407" t="b">
        <v>1</v>
      </c>
      <c r="N407">
        <v>1</v>
      </c>
      <c r="O407">
        <v>1</v>
      </c>
      <c r="P407" s="19" t="s">
        <v>361</v>
      </c>
      <c r="Q407" s="19" t="s">
        <v>259</v>
      </c>
      <c r="R407" s="19" t="s">
        <v>135</v>
      </c>
      <c r="S407" s="19" t="s">
        <v>121</v>
      </c>
      <c r="T407" s="16">
        <v>68.900000000000006</v>
      </c>
      <c r="U407" s="16">
        <v>12.61</v>
      </c>
      <c r="V407" s="16">
        <v>81.510000000000005</v>
      </c>
      <c r="W407" s="19" t="s">
        <v>1347</v>
      </c>
      <c r="X407" s="19" t="s">
        <v>265</v>
      </c>
      <c r="Y407" s="12">
        <v>43177</v>
      </c>
      <c r="Z407" s="12">
        <v>43171</v>
      </c>
      <c r="AA407" s="12">
        <v>43177</v>
      </c>
    </row>
    <row r="408" spans="1:27" x14ac:dyDescent="0.25">
      <c r="A408">
        <v>404</v>
      </c>
      <c r="B408" s="19" t="s">
        <v>657</v>
      </c>
      <c r="C408" s="19" t="s">
        <v>254</v>
      </c>
      <c r="D408" s="19" t="s">
        <v>261</v>
      </c>
      <c r="E408" s="19" t="s">
        <v>262</v>
      </c>
      <c r="F408" s="19" t="s">
        <v>1348</v>
      </c>
      <c r="G408" s="12">
        <v>43152</v>
      </c>
      <c r="H408" s="12">
        <v>43174</v>
      </c>
      <c r="I408">
        <v>4</v>
      </c>
      <c r="J408" s="12">
        <v>43158</v>
      </c>
      <c r="K408" t="b">
        <v>1</v>
      </c>
      <c r="L408" s="12">
        <v>43154</v>
      </c>
      <c r="M408" t="b">
        <v>1</v>
      </c>
      <c r="N408">
        <v>2</v>
      </c>
      <c r="O408">
        <v>1</v>
      </c>
      <c r="P408" s="19" t="s">
        <v>1349</v>
      </c>
      <c r="Q408" s="19" t="s">
        <v>259</v>
      </c>
      <c r="R408" s="19" t="s">
        <v>121</v>
      </c>
      <c r="S408" s="19" t="s">
        <v>122</v>
      </c>
      <c r="T408" s="16">
        <v>56</v>
      </c>
      <c r="U408" s="16">
        <v>30.2</v>
      </c>
      <c r="V408" s="16">
        <v>86.2</v>
      </c>
      <c r="W408" s="19" t="s">
        <v>1318</v>
      </c>
      <c r="X408" s="19" t="s">
        <v>265</v>
      </c>
      <c r="Y408" s="12">
        <v>43177</v>
      </c>
      <c r="Z408" s="12">
        <v>43171</v>
      </c>
      <c r="AA408" s="12">
        <v>43177</v>
      </c>
    </row>
    <row r="409" spans="1:27" x14ac:dyDescent="0.25">
      <c r="A409">
        <v>405</v>
      </c>
      <c r="B409" s="19" t="s">
        <v>657</v>
      </c>
      <c r="C409" s="19" t="s">
        <v>254</v>
      </c>
      <c r="D409" s="19" t="s">
        <v>261</v>
      </c>
      <c r="E409" s="19" t="s">
        <v>262</v>
      </c>
      <c r="F409" s="19" t="s">
        <v>1350</v>
      </c>
      <c r="G409" s="12">
        <v>43153</v>
      </c>
      <c r="H409" s="12">
        <v>43174</v>
      </c>
      <c r="I409">
        <v>4</v>
      </c>
      <c r="J409" s="12">
        <v>43159</v>
      </c>
      <c r="K409" t="b">
        <v>1</v>
      </c>
      <c r="L409" s="12">
        <v>43157</v>
      </c>
      <c r="M409" t="b">
        <v>1</v>
      </c>
      <c r="N409">
        <v>1</v>
      </c>
      <c r="O409">
        <v>1</v>
      </c>
      <c r="P409" s="19" t="s">
        <v>1351</v>
      </c>
      <c r="Q409" s="19" t="s">
        <v>259</v>
      </c>
      <c r="R409" s="19" t="s">
        <v>121</v>
      </c>
      <c r="S409" s="19" t="s">
        <v>122</v>
      </c>
      <c r="T409" s="16">
        <v>299</v>
      </c>
      <c r="U409" s="16">
        <v>16.84</v>
      </c>
      <c r="V409" s="16">
        <v>315.83999999999997</v>
      </c>
      <c r="W409" s="19" t="s">
        <v>1334</v>
      </c>
      <c r="X409" s="19" t="s">
        <v>265</v>
      </c>
      <c r="Y409" s="12">
        <v>43177</v>
      </c>
      <c r="Z409" s="12">
        <v>43171</v>
      </c>
      <c r="AA409" s="12">
        <v>43177</v>
      </c>
    </row>
    <row r="410" spans="1:27" x14ac:dyDescent="0.25">
      <c r="A410">
        <v>406</v>
      </c>
      <c r="B410" s="19" t="s">
        <v>657</v>
      </c>
      <c r="C410" s="19" t="s">
        <v>254</v>
      </c>
      <c r="D410" s="19" t="s">
        <v>261</v>
      </c>
      <c r="E410" s="19" t="s">
        <v>262</v>
      </c>
      <c r="F410" s="19" t="s">
        <v>1352</v>
      </c>
      <c r="G410" s="12">
        <v>43153</v>
      </c>
      <c r="H410" s="12">
        <v>43174</v>
      </c>
      <c r="I410">
        <v>4</v>
      </c>
      <c r="J410" s="12">
        <v>43159</v>
      </c>
      <c r="K410" t="b">
        <v>1</v>
      </c>
      <c r="L410" s="12">
        <v>43157</v>
      </c>
      <c r="M410" t="b">
        <v>1</v>
      </c>
      <c r="N410">
        <v>1</v>
      </c>
      <c r="O410">
        <v>1</v>
      </c>
      <c r="P410" s="19" t="s">
        <v>621</v>
      </c>
      <c r="Q410" s="19" t="s">
        <v>259</v>
      </c>
      <c r="R410" s="19" t="s">
        <v>121</v>
      </c>
      <c r="S410" s="19" t="s">
        <v>121</v>
      </c>
      <c r="T410" s="16">
        <v>165</v>
      </c>
      <c r="U410" s="16">
        <v>16.78</v>
      </c>
      <c r="V410" s="16">
        <v>181.78</v>
      </c>
      <c r="W410" s="19" t="s">
        <v>1334</v>
      </c>
      <c r="X410" s="19" t="s">
        <v>265</v>
      </c>
      <c r="Y410" s="12">
        <v>43177</v>
      </c>
      <c r="Z410" s="12">
        <v>43171</v>
      </c>
      <c r="AA410" s="12">
        <v>43177</v>
      </c>
    </row>
    <row r="411" spans="1:27" x14ac:dyDescent="0.25">
      <c r="A411">
        <v>407</v>
      </c>
      <c r="B411" s="19" t="s">
        <v>657</v>
      </c>
      <c r="C411" s="19" t="s">
        <v>254</v>
      </c>
      <c r="D411" s="19" t="s">
        <v>261</v>
      </c>
      <c r="E411" s="19" t="s">
        <v>262</v>
      </c>
      <c r="F411" s="19" t="s">
        <v>1353</v>
      </c>
      <c r="G411" s="12">
        <v>43153</v>
      </c>
      <c r="H411" s="12">
        <v>43174</v>
      </c>
      <c r="I411">
        <v>4</v>
      </c>
      <c r="J411" s="12">
        <v>43159</v>
      </c>
      <c r="K411" t="b">
        <v>1</v>
      </c>
      <c r="L411" s="12">
        <v>43158</v>
      </c>
      <c r="M411" t="b">
        <v>1</v>
      </c>
      <c r="N411">
        <v>1</v>
      </c>
      <c r="O411">
        <v>1</v>
      </c>
      <c r="P411" s="19" t="s">
        <v>1354</v>
      </c>
      <c r="Q411" s="19" t="s">
        <v>259</v>
      </c>
      <c r="R411" s="19" t="s">
        <v>122</v>
      </c>
      <c r="S411" s="19" t="s">
        <v>121</v>
      </c>
      <c r="T411" s="16">
        <v>135</v>
      </c>
      <c r="U411" s="16">
        <v>14.7</v>
      </c>
      <c r="V411" s="16">
        <v>149.69999999999999</v>
      </c>
      <c r="W411" s="19" t="s">
        <v>1341</v>
      </c>
      <c r="X411" s="19" t="s">
        <v>265</v>
      </c>
      <c r="Y411" s="12">
        <v>43177</v>
      </c>
      <c r="Z411" s="12">
        <v>43171</v>
      </c>
      <c r="AA411" s="12">
        <v>43177</v>
      </c>
    </row>
    <row r="412" spans="1:27" x14ac:dyDescent="0.25">
      <c r="A412">
        <v>408</v>
      </c>
      <c r="B412" s="19" t="s">
        <v>657</v>
      </c>
      <c r="C412" s="19" t="s">
        <v>254</v>
      </c>
      <c r="D412" s="19" t="s">
        <v>261</v>
      </c>
      <c r="E412" s="19" t="s">
        <v>262</v>
      </c>
      <c r="F412" s="19" t="s">
        <v>1355</v>
      </c>
      <c r="G412" s="12">
        <v>43153</v>
      </c>
      <c r="H412" s="12">
        <v>43174</v>
      </c>
      <c r="I412">
        <v>4</v>
      </c>
      <c r="J412" s="12">
        <v>43159</v>
      </c>
      <c r="K412" t="b">
        <v>1</v>
      </c>
      <c r="L412" s="12">
        <v>43153</v>
      </c>
      <c r="M412" t="b">
        <v>1</v>
      </c>
      <c r="N412">
        <v>1</v>
      </c>
      <c r="O412">
        <v>1</v>
      </c>
      <c r="P412" s="19" t="s">
        <v>1356</v>
      </c>
      <c r="Q412" s="19" t="s">
        <v>259</v>
      </c>
      <c r="R412" s="19" t="s">
        <v>121</v>
      </c>
      <c r="S412" s="19" t="s">
        <v>122</v>
      </c>
      <c r="T412" s="16">
        <v>59</v>
      </c>
      <c r="U412" s="16">
        <v>16.170000000000002</v>
      </c>
      <c r="V412" s="16">
        <v>75.17</v>
      </c>
      <c r="W412" s="19" t="s">
        <v>1323</v>
      </c>
      <c r="X412" s="19" t="s">
        <v>265</v>
      </c>
      <c r="Y412" s="12">
        <v>43177</v>
      </c>
      <c r="Z412" s="12">
        <v>43171</v>
      </c>
      <c r="AA412" s="12">
        <v>43177</v>
      </c>
    </row>
    <row r="413" spans="1:27" x14ac:dyDescent="0.25">
      <c r="A413">
        <v>409</v>
      </c>
      <c r="B413" s="19" t="s">
        <v>657</v>
      </c>
      <c r="C413" s="19" t="s">
        <v>254</v>
      </c>
      <c r="D413" s="19" t="s">
        <v>261</v>
      </c>
      <c r="E413" s="19" t="s">
        <v>262</v>
      </c>
      <c r="F413" s="19" t="s">
        <v>1357</v>
      </c>
      <c r="G413" s="12">
        <v>43153</v>
      </c>
      <c r="H413" s="12">
        <v>43174</v>
      </c>
      <c r="I413">
        <v>4</v>
      </c>
      <c r="J413" s="12">
        <v>43159</v>
      </c>
      <c r="K413" t="b">
        <v>1</v>
      </c>
      <c r="L413" s="12">
        <v>43158</v>
      </c>
      <c r="M413" t="b">
        <v>1</v>
      </c>
      <c r="N413">
        <v>1</v>
      </c>
      <c r="O413">
        <v>1</v>
      </c>
      <c r="P413" s="19" t="s">
        <v>706</v>
      </c>
      <c r="Q413" s="19" t="s">
        <v>259</v>
      </c>
      <c r="R413" s="19" t="s">
        <v>121</v>
      </c>
      <c r="S413" s="19" t="s">
        <v>122</v>
      </c>
      <c r="T413" s="16">
        <v>49.9</v>
      </c>
      <c r="U413" s="16">
        <v>15.1</v>
      </c>
      <c r="V413" s="16">
        <v>65</v>
      </c>
      <c r="W413" s="19" t="s">
        <v>1341</v>
      </c>
      <c r="X413" s="19" t="s">
        <v>265</v>
      </c>
      <c r="Y413" s="12">
        <v>43177</v>
      </c>
      <c r="Z413" s="12">
        <v>43171</v>
      </c>
      <c r="AA413" s="12">
        <v>43177</v>
      </c>
    </row>
    <row r="414" spans="1:27" x14ac:dyDescent="0.25">
      <c r="A414">
        <v>410</v>
      </c>
      <c r="B414" s="19" t="s">
        <v>657</v>
      </c>
      <c r="C414" s="19" t="s">
        <v>254</v>
      </c>
      <c r="D414" s="19" t="s">
        <v>261</v>
      </c>
      <c r="E414" s="19" t="s">
        <v>262</v>
      </c>
      <c r="F414" s="19" t="s">
        <v>1358</v>
      </c>
      <c r="G414" s="12">
        <v>43152</v>
      </c>
      <c r="H414" s="12">
        <v>43174</v>
      </c>
      <c r="I414">
        <v>4</v>
      </c>
      <c r="J414" s="12">
        <v>43159</v>
      </c>
      <c r="K414" t="b">
        <v>1</v>
      </c>
      <c r="L414" s="12">
        <v>43157</v>
      </c>
      <c r="M414" t="b">
        <v>1</v>
      </c>
      <c r="N414">
        <v>1</v>
      </c>
      <c r="O414">
        <v>1</v>
      </c>
      <c r="P414" s="19" t="s">
        <v>405</v>
      </c>
      <c r="Q414" s="19" t="s">
        <v>259</v>
      </c>
      <c r="R414" s="19" t="s">
        <v>121</v>
      </c>
      <c r="S414" s="19" t="s">
        <v>189</v>
      </c>
      <c r="T414" s="16">
        <v>15</v>
      </c>
      <c r="U414" s="16">
        <v>21.15</v>
      </c>
      <c r="V414" s="16">
        <v>36.15</v>
      </c>
      <c r="W414" s="19" t="s">
        <v>1334</v>
      </c>
      <c r="X414" s="19" t="s">
        <v>265</v>
      </c>
      <c r="Y414" s="12">
        <v>43177</v>
      </c>
      <c r="Z414" s="12">
        <v>43171</v>
      </c>
      <c r="AA414" s="12">
        <v>43177</v>
      </c>
    </row>
    <row r="415" spans="1:27" x14ac:dyDescent="0.25">
      <c r="A415">
        <v>411</v>
      </c>
      <c r="B415" s="19" t="s">
        <v>657</v>
      </c>
      <c r="C415" s="19" t="s">
        <v>254</v>
      </c>
      <c r="D415" s="19" t="s">
        <v>261</v>
      </c>
      <c r="E415" s="19" t="s">
        <v>262</v>
      </c>
      <c r="F415" s="19" t="s">
        <v>1359</v>
      </c>
      <c r="G415" s="12">
        <v>43154</v>
      </c>
      <c r="H415" s="12">
        <v>43174</v>
      </c>
      <c r="I415">
        <v>4</v>
      </c>
      <c r="J415" s="12">
        <v>43160</v>
      </c>
      <c r="K415" t="b">
        <v>1</v>
      </c>
      <c r="L415" s="12">
        <v>43157</v>
      </c>
      <c r="M415" t="b">
        <v>1</v>
      </c>
      <c r="N415">
        <v>1</v>
      </c>
      <c r="O415">
        <v>1</v>
      </c>
      <c r="P415" s="19" t="s">
        <v>1331</v>
      </c>
      <c r="Q415" s="19" t="s">
        <v>259</v>
      </c>
      <c r="R415" s="19" t="s">
        <v>121</v>
      </c>
      <c r="S415" s="19" t="s">
        <v>122</v>
      </c>
      <c r="T415" s="16">
        <v>146.69999999999999</v>
      </c>
      <c r="U415" s="16">
        <v>14.78</v>
      </c>
      <c r="V415" s="16">
        <v>161.47999999999999</v>
      </c>
      <c r="W415" s="19" t="s">
        <v>1334</v>
      </c>
      <c r="X415" s="19" t="s">
        <v>265</v>
      </c>
      <c r="Y415" s="12">
        <v>43177</v>
      </c>
      <c r="Z415" s="12">
        <v>43171</v>
      </c>
      <c r="AA415" s="12">
        <v>43177</v>
      </c>
    </row>
    <row r="416" spans="1:27" x14ac:dyDescent="0.25">
      <c r="A416">
        <v>412</v>
      </c>
      <c r="B416" s="19" t="s">
        <v>657</v>
      </c>
      <c r="C416" s="19" t="s">
        <v>254</v>
      </c>
      <c r="D416" s="19" t="s">
        <v>261</v>
      </c>
      <c r="E416" s="19" t="s">
        <v>262</v>
      </c>
      <c r="F416" s="19" t="s">
        <v>1360</v>
      </c>
      <c r="G416" s="12">
        <v>43153</v>
      </c>
      <c r="H416" s="12">
        <v>43174</v>
      </c>
      <c r="I416">
        <v>4</v>
      </c>
      <c r="J416" s="12">
        <v>43160</v>
      </c>
      <c r="K416" t="b">
        <v>1</v>
      </c>
      <c r="L416" s="12">
        <v>43158</v>
      </c>
      <c r="M416" t="b">
        <v>1</v>
      </c>
      <c r="N416">
        <v>1</v>
      </c>
      <c r="O416">
        <v>1</v>
      </c>
      <c r="P416" s="19" t="s">
        <v>1277</v>
      </c>
      <c r="Q416" s="19" t="s">
        <v>259</v>
      </c>
      <c r="R416" s="19" t="s">
        <v>121</v>
      </c>
      <c r="S416" s="19" t="s">
        <v>121</v>
      </c>
      <c r="T416" s="16">
        <v>145</v>
      </c>
      <c r="U416" s="16">
        <v>12.51</v>
      </c>
      <c r="V416" s="16">
        <v>157.51</v>
      </c>
      <c r="W416" s="19" t="s">
        <v>1341</v>
      </c>
      <c r="X416" s="19" t="s">
        <v>265</v>
      </c>
      <c r="Y416" s="12">
        <v>43177</v>
      </c>
      <c r="Z416" s="12">
        <v>43171</v>
      </c>
      <c r="AA416" s="12">
        <v>43177</v>
      </c>
    </row>
    <row r="417" spans="1:27" x14ac:dyDescent="0.25">
      <c r="A417">
        <v>413</v>
      </c>
      <c r="B417" s="19" t="s">
        <v>657</v>
      </c>
      <c r="C417" s="19" t="s">
        <v>254</v>
      </c>
      <c r="D417" s="19" t="s">
        <v>261</v>
      </c>
      <c r="E417" s="19" t="s">
        <v>262</v>
      </c>
      <c r="F417" s="19" t="s">
        <v>1361</v>
      </c>
      <c r="G417" s="12">
        <v>43154</v>
      </c>
      <c r="H417" s="12">
        <v>43174</v>
      </c>
      <c r="I417">
        <v>4</v>
      </c>
      <c r="J417" s="12">
        <v>43160</v>
      </c>
      <c r="K417" t="b">
        <v>1</v>
      </c>
      <c r="L417" s="12">
        <v>43157</v>
      </c>
      <c r="M417" t="b">
        <v>1</v>
      </c>
      <c r="N417">
        <v>1</v>
      </c>
      <c r="O417">
        <v>1</v>
      </c>
      <c r="P417" s="19" t="s">
        <v>485</v>
      </c>
      <c r="Q417" s="19" t="s">
        <v>259</v>
      </c>
      <c r="R417" s="19" t="s">
        <v>121</v>
      </c>
      <c r="S417" s="19" t="s">
        <v>122</v>
      </c>
      <c r="T417" s="16">
        <v>144.99</v>
      </c>
      <c r="U417" s="16">
        <v>17.260000000000002</v>
      </c>
      <c r="V417" s="16">
        <v>162.25</v>
      </c>
      <c r="W417" s="19" t="s">
        <v>1334</v>
      </c>
      <c r="X417" s="19" t="s">
        <v>265</v>
      </c>
      <c r="Y417" s="12">
        <v>43177</v>
      </c>
      <c r="Z417" s="12">
        <v>43171</v>
      </c>
      <c r="AA417" s="12">
        <v>43177</v>
      </c>
    </row>
    <row r="418" spans="1:27" x14ac:dyDescent="0.25">
      <c r="A418">
        <v>414</v>
      </c>
      <c r="B418" s="19" t="s">
        <v>657</v>
      </c>
      <c r="C418" s="19" t="s">
        <v>254</v>
      </c>
      <c r="D418" s="19" t="s">
        <v>261</v>
      </c>
      <c r="E418" s="19" t="s">
        <v>262</v>
      </c>
      <c r="F418" s="19" t="s">
        <v>1362</v>
      </c>
      <c r="G418" s="12">
        <v>43152</v>
      </c>
      <c r="H418" s="12">
        <v>43174</v>
      </c>
      <c r="I418">
        <v>4</v>
      </c>
      <c r="J418" s="12">
        <v>43160</v>
      </c>
      <c r="K418" t="b">
        <v>1</v>
      </c>
      <c r="L418" s="12">
        <v>43167</v>
      </c>
      <c r="M418" t="b">
        <v>1</v>
      </c>
      <c r="N418">
        <v>1</v>
      </c>
      <c r="O418">
        <v>1</v>
      </c>
      <c r="P418" s="19" t="s">
        <v>707</v>
      </c>
      <c r="Q418" s="19" t="s">
        <v>259</v>
      </c>
      <c r="R418" s="19" t="s">
        <v>135</v>
      </c>
      <c r="S418" s="19" t="s">
        <v>125</v>
      </c>
      <c r="T418" s="16">
        <v>120.1</v>
      </c>
      <c r="U418" s="16">
        <v>16.600000000000001</v>
      </c>
      <c r="V418" s="16">
        <v>136.69999999999999</v>
      </c>
      <c r="W418" s="19" t="s">
        <v>1363</v>
      </c>
      <c r="X418" s="19" t="s">
        <v>265</v>
      </c>
      <c r="Y418" s="12">
        <v>43177</v>
      </c>
      <c r="Z418" s="12">
        <v>43171</v>
      </c>
      <c r="AA418" s="12">
        <v>43177</v>
      </c>
    </row>
    <row r="419" spans="1:27" x14ac:dyDescent="0.25">
      <c r="A419">
        <v>415</v>
      </c>
      <c r="B419" s="19" t="s">
        <v>657</v>
      </c>
      <c r="C419" s="19" t="s">
        <v>254</v>
      </c>
      <c r="D419" s="19" t="s">
        <v>261</v>
      </c>
      <c r="E419" s="19" t="s">
        <v>262</v>
      </c>
      <c r="F419" s="19" t="s">
        <v>1364</v>
      </c>
      <c r="G419" s="12">
        <v>43154</v>
      </c>
      <c r="H419" s="12">
        <v>43174</v>
      </c>
      <c r="I419">
        <v>4</v>
      </c>
      <c r="J419" s="12">
        <v>43160</v>
      </c>
      <c r="K419" t="b">
        <v>1</v>
      </c>
      <c r="L419" s="12">
        <v>43157</v>
      </c>
      <c r="M419" t="b">
        <v>1</v>
      </c>
      <c r="N419">
        <v>1</v>
      </c>
      <c r="O419">
        <v>1</v>
      </c>
      <c r="P419" s="19" t="s">
        <v>1172</v>
      </c>
      <c r="Q419" s="19" t="s">
        <v>259</v>
      </c>
      <c r="R419" s="19" t="s">
        <v>121</v>
      </c>
      <c r="S419" s="19" t="s">
        <v>122</v>
      </c>
      <c r="T419" s="16">
        <v>120</v>
      </c>
      <c r="U419" s="16">
        <v>39.770000000000003</v>
      </c>
      <c r="V419" s="16">
        <v>159.77000000000001</v>
      </c>
      <c r="W419" s="19" t="s">
        <v>1334</v>
      </c>
      <c r="X419" s="19" t="s">
        <v>265</v>
      </c>
      <c r="Y419" s="12">
        <v>43177</v>
      </c>
      <c r="Z419" s="12">
        <v>43171</v>
      </c>
      <c r="AA419" s="12">
        <v>43177</v>
      </c>
    </row>
    <row r="420" spans="1:27" x14ac:dyDescent="0.25">
      <c r="A420">
        <v>416</v>
      </c>
      <c r="B420" s="19" t="s">
        <v>657</v>
      </c>
      <c r="C420" s="19" t="s">
        <v>254</v>
      </c>
      <c r="D420" s="19" t="s">
        <v>261</v>
      </c>
      <c r="E420" s="19" t="s">
        <v>262</v>
      </c>
      <c r="F420" s="19" t="s">
        <v>1365</v>
      </c>
      <c r="G420" s="12">
        <v>43153</v>
      </c>
      <c r="H420" s="12">
        <v>43174</v>
      </c>
      <c r="I420">
        <v>4</v>
      </c>
      <c r="J420" s="12">
        <v>43160</v>
      </c>
      <c r="K420" t="b">
        <v>1</v>
      </c>
      <c r="L420" s="12">
        <v>43161</v>
      </c>
      <c r="M420" t="b">
        <v>1</v>
      </c>
      <c r="N420">
        <v>1</v>
      </c>
      <c r="O420">
        <v>1</v>
      </c>
      <c r="P420" s="19" t="s">
        <v>680</v>
      </c>
      <c r="Q420" s="19" t="s">
        <v>259</v>
      </c>
      <c r="R420" s="19" t="s">
        <v>121</v>
      </c>
      <c r="S420" s="19" t="s">
        <v>146</v>
      </c>
      <c r="T420" s="16">
        <v>100</v>
      </c>
      <c r="U420" s="16">
        <v>16.46</v>
      </c>
      <c r="V420" s="16">
        <v>116.46</v>
      </c>
      <c r="W420" s="19" t="s">
        <v>1366</v>
      </c>
      <c r="X420" s="19" t="s">
        <v>265</v>
      </c>
      <c r="Y420" s="12">
        <v>43177</v>
      </c>
      <c r="Z420" s="12">
        <v>43171</v>
      </c>
      <c r="AA420" s="12">
        <v>43177</v>
      </c>
    </row>
    <row r="421" spans="1:27" x14ac:dyDescent="0.25">
      <c r="A421">
        <v>417</v>
      </c>
      <c r="B421" s="19" t="s">
        <v>657</v>
      </c>
      <c r="C421" s="19" t="s">
        <v>254</v>
      </c>
      <c r="D421" s="19" t="s">
        <v>261</v>
      </c>
      <c r="E421" s="19" t="s">
        <v>262</v>
      </c>
      <c r="F421" s="19" t="s">
        <v>1367</v>
      </c>
      <c r="G421" s="12">
        <v>43154</v>
      </c>
      <c r="H421" s="12">
        <v>43174</v>
      </c>
      <c r="I421">
        <v>4</v>
      </c>
      <c r="J421" s="12">
        <v>43160</v>
      </c>
      <c r="K421" t="b">
        <v>1</v>
      </c>
      <c r="L421" s="12">
        <v>43157</v>
      </c>
      <c r="M421" t="b">
        <v>1</v>
      </c>
      <c r="N421">
        <v>1</v>
      </c>
      <c r="O421">
        <v>1</v>
      </c>
      <c r="P421" s="19" t="s">
        <v>446</v>
      </c>
      <c r="Q421" s="19" t="s">
        <v>259</v>
      </c>
      <c r="R421" s="19" t="s">
        <v>121</v>
      </c>
      <c r="S421" s="19" t="s">
        <v>122</v>
      </c>
      <c r="T421" s="16">
        <v>99.49</v>
      </c>
      <c r="U421" s="16">
        <v>16.95</v>
      </c>
      <c r="V421" s="16">
        <v>116.44</v>
      </c>
      <c r="W421" s="19" t="s">
        <v>1334</v>
      </c>
      <c r="X421" s="19" t="s">
        <v>265</v>
      </c>
      <c r="Y421" s="12">
        <v>43177</v>
      </c>
      <c r="Z421" s="12">
        <v>43171</v>
      </c>
      <c r="AA421" s="12">
        <v>43177</v>
      </c>
    </row>
    <row r="422" spans="1:27" x14ac:dyDescent="0.25">
      <c r="A422">
        <v>418</v>
      </c>
      <c r="B422" s="19" t="s">
        <v>657</v>
      </c>
      <c r="C422" s="19" t="s">
        <v>254</v>
      </c>
      <c r="D422" s="19" t="s">
        <v>261</v>
      </c>
      <c r="E422" s="19" t="s">
        <v>262</v>
      </c>
      <c r="F422" s="19" t="s">
        <v>1368</v>
      </c>
      <c r="G422" s="12">
        <v>43152</v>
      </c>
      <c r="H422" s="12">
        <v>43174</v>
      </c>
      <c r="I422">
        <v>4</v>
      </c>
      <c r="J422" s="12">
        <v>43160</v>
      </c>
      <c r="K422" t="b">
        <v>1</v>
      </c>
      <c r="L422" s="12">
        <v>43153</v>
      </c>
      <c r="M422" t="b">
        <v>1</v>
      </c>
      <c r="N422">
        <v>1</v>
      </c>
      <c r="O422">
        <v>1</v>
      </c>
      <c r="P422" s="19" t="s">
        <v>1369</v>
      </c>
      <c r="Q422" s="19" t="s">
        <v>259</v>
      </c>
      <c r="R422" s="19" t="s">
        <v>121</v>
      </c>
      <c r="S422" s="19" t="s">
        <v>122</v>
      </c>
      <c r="T422" s="16">
        <v>81</v>
      </c>
      <c r="U422" s="16">
        <v>15.33</v>
      </c>
      <c r="V422" s="16">
        <v>96.33</v>
      </c>
      <c r="W422" s="19" t="s">
        <v>1323</v>
      </c>
      <c r="X422" s="19" t="s">
        <v>265</v>
      </c>
      <c r="Y422" s="12">
        <v>43177</v>
      </c>
      <c r="Z422" s="12">
        <v>43171</v>
      </c>
      <c r="AA422" s="12">
        <v>43177</v>
      </c>
    </row>
    <row r="423" spans="1:27" x14ac:dyDescent="0.25">
      <c r="A423">
        <v>419</v>
      </c>
      <c r="B423" s="19" t="s">
        <v>657</v>
      </c>
      <c r="C423" s="19" t="s">
        <v>254</v>
      </c>
      <c r="D423" s="19" t="s">
        <v>261</v>
      </c>
      <c r="E423" s="19" t="s">
        <v>262</v>
      </c>
      <c r="F423" s="19" t="s">
        <v>1370</v>
      </c>
      <c r="G423" s="12">
        <v>43152</v>
      </c>
      <c r="H423" s="12">
        <v>43174</v>
      </c>
      <c r="I423">
        <v>4</v>
      </c>
      <c r="J423" s="12">
        <v>43160</v>
      </c>
      <c r="K423" t="b">
        <v>1</v>
      </c>
      <c r="L423" s="12">
        <v>43155</v>
      </c>
      <c r="M423" t="b">
        <v>1</v>
      </c>
      <c r="N423">
        <v>1</v>
      </c>
      <c r="O423">
        <v>1</v>
      </c>
      <c r="P423" s="19" t="s">
        <v>1371</v>
      </c>
      <c r="Q423" s="19" t="s">
        <v>259</v>
      </c>
      <c r="R423" s="19" t="s">
        <v>131</v>
      </c>
      <c r="S423" s="19" t="s">
        <v>122</v>
      </c>
      <c r="T423" s="16">
        <v>75</v>
      </c>
      <c r="U423" s="16">
        <v>16.29</v>
      </c>
      <c r="V423" s="16">
        <v>91.29</v>
      </c>
      <c r="W423" s="19" t="s">
        <v>1347</v>
      </c>
      <c r="X423" s="19" t="s">
        <v>265</v>
      </c>
      <c r="Y423" s="12">
        <v>43177</v>
      </c>
      <c r="Z423" s="12">
        <v>43171</v>
      </c>
      <c r="AA423" s="12">
        <v>43177</v>
      </c>
    </row>
    <row r="424" spans="1:27" x14ac:dyDescent="0.25">
      <c r="A424">
        <v>420</v>
      </c>
      <c r="B424" s="19" t="s">
        <v>657</v>
      </c>
      <c r="C424" s="19" t="s">
        <v>254</v>
      </c>
      <c r="D424" s="19" t="s">
        <v>261</v>
      </c>
      <c r="E424" s="19" t="s">
        <v>262</v>
      </c>
      <c r="F424" s="19" t="s">
        <v>1372</v>
      </c>
      <c r="G424" s="12">
        <v>43153</v>
      </c>
      <c r="H424" s="12">
        <v>43174</v>
      </c>
      <c r="I424">
        <v>4</v>
      </c>
      <c r="J424" s="12">
        <v>43160</v>
      </c>
      <c r="K424" t="b">
        <v>1</v>
      </c>
      <c r="L424" s="12">
        <v>43159</v>
      </c>
      <c r="M424" t="b">
        <v>1</v>
      </c>
      <c r="N424">
        <v>1</v>
      </c>
      <c r="O424">
        <v>1</v>
      </c>
      <c r="P424" s="19" t="s">
        <v>708</v>
      </c>
      <c r="Q424" s="19" t="s">
        <v>259</v>
      </c>
      <c r="R424" s="19" t="s">
        <v>121</v>
      </c>
      <c r="S424" s="19" t="s">
        <v>122</v>
      </c>
      <c r="T424" s="16">
        <v>59</v>
      </c>
      <c r="U424" s="16">
        <v>15.17</v>
      </c>
      <c r="V424" s="16">
        <v>74.17</v>
      </c>
      <c r="W424" s="19" t="s">
        <v>1373</v>
      </c>
      <c r="X424" s="19" t="s">
        <v>265</v>
      </c>
      <c r="Y424" s="12">
        <v>43177</v>
      </c>
      <c r="Z424" s="12">
        <v>43171</v>
      </c>
      <c r="AA424" s="12">
        <v>43177</v>
      </c>
    </row>
    <row r="425" spans="1:27" x14ac:dyDescent="0.25">
      <c r="A425">
        <v>421</v>
      </c>
      <c r="B425" s="19" t="s">
        <v>657</v>
      </c>
      <c r="C425" s="19" t="s">
        <v>254</v>
      </c>
      <c r="D425" s="19" t="s">
        <v>261</v>
      </c>
      <c r="E425" s="19" t="s">
        <v>262</v>
      </c>
      <c r="F425" s="19" t="s">
        <v>1374</v>
      </c>
      <c r="G425" s="12">
        <v>43154</v>
      </c>
      <c r="H425" s="12">
        <v>43174</v>
      </c>
      <c r="I425">
        <v>4</v>
      </c>
      <c r="J425" s="12">
        <v>43160</v>
      </c>
      <c r="K425" t="b">
        <v>1</v>
      </c>
      <c r="L425" s="12">
        <v>43159</v>
      </c>
      <c r="M425" t="b">
        <v>1</v>
      </c>
      <c r="N425">
        <v>1</v>
      </c>
      <c r="O425">
        <v>1</v>
      </c>
      <c r="P425" s="19" t="s">
        <v>1375</v>
      </c>
      <c r="Q425" s="19" t="s">
        <v>259</v>
      </c>
      <c r="R425" s="19" t="s">
        <v>121</v>
      </c>
      <c r="S425" s="19" t="s">
        <v>121</v>
      </c>
      <c r="T425" s="16">
        <v>56.9</v>
      </c>
      <c r="U425" s="16">
        <v>12.74</v>
      </c>
      <c r="V425" s="16">
        <v>69.64</v>
      </c>
      <c r="W425" s="19" t="s">
        <v>1373</v>
      </c>
      <c r="X425" s="19" t="s">
        <v>265</v>
      </c>
      <c r="Y425" s="12">
        <v>43177</v>
      </c>
      <c r="Z425" s="12">
        <v>43171</v>
      </c>
      <c r="AA425" s="12">
        <v>43177</v>
      </c>
    </row>
    <row r="426" spans="1:27" x14ac:dyDescent="0.25">
      <c r="A426">
        <v>422</v>
      </c>
      <c r="B426" s="19" t="s">
        <v>657</v>
      </c>
      <c r="C426" s="19" t="s">
        <v>254</v>
      </c>
      <c r="D426" s="19" t="s">
        <v>261</v>
      </c>
      <c r="E426" s="19" t="s">
        <v>262</v>
      </c>
      <c r="F426" s="19" t="s">
        <v>1376</v>
      </c>
      <c r="G426" s="12">
        <v>43154</v>
      </c>
      <c r="H426" s="12">
        <v>43174</v>
      </c>
      <c r="I426">
        <v>4</v>
      </c>
      <c r="J426" s="12">
        <v>43160</v>
      </c>
      <c r="K426" t="b">
        <v>1</v>
      </c>
      <c r="L426" s="12">
        <v>43160</v>
      </c>
      <c r="M426" t="b">
        <v>1</v>
      </c>
      <c r="N426">
        <v>1</v>
      </c>
      <c r="O426">
        <v>1</v>
      </c>
      <c r="P426" s="19" t="s">
        <v>279</v>
      </c>
      <c r="Q426" s="19" t="s">
        <v>259</v>
      </c>
      <c r="R426" s="19" t="s">
        <v>121</v>
      </c>
      <c r="S426" s="19" t="s">
        <v>121</v>
      </c>
      <c r="T426" s="16">
        <v>53.5</v>
      </c>
      <c r="U426" s="16">
        <v>11.87</v>
      </c>
      <c r="V426" s="16">
        <v>65.37</v>
      </c>
      <c r="W426" s="19" t="s">
        <v>1377</v>
      </c>
      <c r="X426" s="19" t="s">
        <v>265</v>
      </c>
      <c r="Y426" s="12">
        <v>43177</v>
      </c>
      <c r="Z426" s="12">
        <v>43171</v>
      </c>
      <c r="AA426" s="12">
        <v>43177</v>
      </c>
    </row>
    <row r="427" spans="1:27" x14ac:dyDescent="0.25">
      <c r="A427">
        <v>423</v>
      </c>
      <c r="B427" s="19" t="s">
        <v>657</v>
      </c>
      <c r="C427" s="19" t="s">
        <v>254</v>
      </c>
      <c r="D427" s="19" t="s">
        <v>261</v>
      </c>
      <c r="E427" s="19" t="s">
        <v>262</v>
      </c>
      <c r="F427" s="19" t="s">
        <v>1378</v>
      </c>
      <c r="G427" s="12">
        <v>43154</v>
      </c>
      <c r="H427" s="12">
        <v>43174</v>
      </c>
      <c r="I427">
        <v>4</v>
      </c>
      <c r="J427" s="12">
        <v>43160</v>
      </c>
      <c r="K427" t="b">
        <v>1</v>
      </c>
      <c r="L427" s="12">
        <v>43157</v>
      </c>
      <c r="M427" t="b">
        <v>1</v>
      </c>
      <c r="N427">
        <v>1</v>
      </c>
      <c r="O427">
        <v>1</v>
      </c>
      <c r="P427" s="19" t="s">
        <v>1379</v>
      </c>
      <c r="Q427" s="19" t="s">
        <v>259</v>
      </c>
      <c r="R427" s="19" t="s">
        <v>121</v>
      </c>
      <c r="S427" s="19" t="s">
        <v>121</v>
      </c>
      <c r="T427" s="16">
        <v>44.9</v>
      </c>
      <c r="U427" s="16">
        <v>12.69</v>
      </c>
      <c r="V427" s="16">
        <v>57.59</v>
      </c>
      <c r="W427" s="19" t="s">
        <v>1334</v>
      </c>
      <c r="X427" s="19" t="s">
        <v>265</v>
      </c>
      <c r="Y427" s="12">
        <v>43177</v>
      </c>
      <c r="Z427" s="12">
        <v>43171</v>
      </c>
      <c r="AA427" s="12">
        <v>43177</v>
      </c>
    </row>
    <row r="428" spans="1:27" x14ac:dyDescent="0.25">
      <c r="A428">
        <v>424</v>
      </c>
      <c r="B428" s="19" t="s">
        <v>657</v>
      </c>
      <c r="C428" s="19" t="s">
        <v>254</v>
      </c>
      <c r="D428" s="19" t="s">
        <v>261</v>
      </c>
      <c r="E428" s="19" t="s">
        <v>262</v>
      </c>
      <c r="F428" s="19" t="s">
        <v>1380</v>
      </c>
      <c r="G428" s="12">
        <v>43153</v>
      </c>
      <c r="H428" s="12">
        <v>43174</v>
      </c>
      <c r="I428">
        <v>4</v>
      </c>
      <c r="J428" s="12">
        <v>43160</v>
      </c>
      <c r="K428" t="b">
        <v>1</v>
      </c>
      <c r="L428" s="12">
        <v>43154</v>
      </c>
      <c r="M428" t="b">
        <v>1</v>
      </c>
      <c r="N428">
        <v>1</v>
      </c>
      <c r="O428">
        <v>1</v>
      </c>
      <c r="P428" s="19" t="s">
        <v>661</v>
      </c>
      <c r="Q428" s="19" t="s">
        <v>259</v>
      </c>
      <c r="R428" s="19" t="s">
        <v>121</v>
      </c>
      <c r="S428" s="19" t="s">
        <v>122</v>
      </c>
      <c r="T428" s="16">
        <v>33.99</v>
      </c>
      <c r="U428" s="16">
        <v>16.11</v>
      </c>
      <c r="V428" s="16">
        <v>50.1</v>
      </c>
      <c r="W428" s="19" t="s">
        <v>1318</v>
      </c>
      <c r="X428" s="19" t="s">
        <v>265</v>
      </c>
      <c r="Y428" s="12">
        <v>43177</v>
      </c>
      <c r="Z428" s="12">
        <v>43171</v>
      </c>
      <c r="AA428" s="12">
        <v>43177</v>
      </c>
    </row>
    <row r="429" spans="1:27" x14ac:dyDescent="0.25">
      <c r="A429">
        <v>425</v>
      </c>
      <c r="B429" s="19" t="s">
        <v>657</v>
      </c>
      <c r="C429" s="19" t="s">
        <v>254</v>
      </c>
      <c r="D429" s="19" t="s">
        <v>261</v>
      </c>
      <c r="E429" s="19" t="s">
        <v>262</v>
      </c>
      <c r="F429" s="19" t="s">
        <v>1381</v>
      </c>
      <c r="G429" s="12">
        <v>43154</v>
      </c>
      <c r="H429" s="12">
        <v>43174</v>
      </c>
      <c r="I429">
        <v>4</v>
      </c>
      <c r="J429" s="12">
        <v>43160</v>
      </c>
      <c r="K429" t="b">
        <v>1</v>
      </c>
      <c r="L429" s="12">
        <v>43157</v>
      </c>
      <c r="M429" t="b">
        <v>1</v>
      </c>
      <c r="N429">
        <v>1</v>
      </c>
      <c r="O429">
        <v>1</v>
      </c>
      <c r="P429" s="19" t="s">
        <v>405</v>
      </c>
      <c r="Q429" s="19" t="s">
        <v>259</v>
      </c>
      <c r="R429" s="19" t="s">
        <v>121</v>
      </c>
      <c r="S429" s="19" t="s">
        <v>122</v>
      </c>
      <c r="T429" s="16">
        <v>15</v>
      </c>
      <c r="U429" s="16">
        <v>14.1</v>
      </c>
      <c r="V429" s="16">
        <v>29.1</v>
      </c>
      <c r="W429" s="19" t="s">
        <v>1334</v>
      </c>
      <c r="X429" s="19" t="s">
        <v>265</v>
      </c>
      <c r="Y429" s="12">
        <v>43177</v>
      </c>
      <c r="Z429" s="12">
        <v>43171</v>
      </c>
      <c r="AA429" s="12">
        <v>43177</v>
      </c>
    </row>
    <row r="430" spans="1:27" x14ac:dyDescent="0.25">
      <c r="A430">
        <v>426</v>
      </c>
      <c r="B430" s="19" t="s">
        <v>657</v>
      </c>
      <c r="C430" s="19" t="s">
        <v>254</v>
      </c>
      <c r="D430" s="19" t="s">
        <v>261</v>
      </c>
      <c r="E430" s="19" t="s">
        <v>262</v>
      </c>
      <c r="F430" s="19" t="s">
        <v>1382</v>
      </c>
      <c r="G430" s="12">
        <v>43153</v>
      </c>
      <c r="H430" s="12">
        <v>43174</v>
      </c>
      <c r="I430">
        <v>4</v>
      </c>
      <c r="J430" s="12">
        <v>43161</v>
      </c>
      <c r="K430" t="b">
        <v>1</v>
      </c>
      <c r="L430" s="12">
        <v>43158</v>
      </c>
      <c r="M430" t="b">
        <v>1</v>
      </c>
      <c r="N430">
        <v>1</v>
      </c>
      <c r="O430">
        <v>1</v>
      </c>
      <c r="P430" s="19" t="s">
        <v>308</v>
      </c>
      <c r="Q430" s="19" t="s">
        <v>259</v>
      </c>
      <c r="R430" s="19" t="s">
        <v>121</v>
      </c>
      <c r="S430" s="19" t="s">
        <v>121</v>
      </c>
      <c r="T430" s="16">
        <v>69.900000000000006</v>
      </c>
      <c r="U430" s="16">
        <v>16.12</v>
      </c>
      <c r="V430" s="16">
        <v>86.02</v>
      </c>
      <c r="W430" s="19" t="s">
        <v>1341</v>
      </c>
      <c r="X430" s="19" t="s">
        <v>265</v>
      </c>
      <c r="Y430" s="12">
        <v>43177</v>
      </c>
      <c r="Z430" s="12">
        <v>43171</v>
      </c>
      <c r="AA430" s="12">
        <v>43177</v>
      </c>
    </row>
    <row r="431" spans="1:27" x14ac:dyDescent="0.25">
      <c r="A431">
        <v>427</v>
      </c>
      <c r="B431" s="19" t="s">
        <v>657</v>
      </c>
      <c r="C431" s="19" t="s">
        <v>254</v>
      </c>
      <c r="D431" s="19" t="s">
        <v>261</v>
      </c>
      <c r="E431" s="19" t="s">
        <v>262</v>
      </c>
      <c r="F431" s="19" t="s">
        <v>1383</v>
      </c>
      <c r="G431" s="12">
        <v>43154</v>
      </c>
      <c r="H431" s="12">
        <v>43174</v>
      </c>
      <c r="I431">
        <v>4</v>
      </c>
      <c r="J431" s="12">
        <v>43164</v>
      </c>
      <c r="K431" t="b">
        <v>1</v>
      </c>
      <c r="L431" s="12">
        <v>43158</v>
      </c>
      <c r="M431" t="b">
        <v>1</v>
      </c>
      <c r="N431">
        <v>1</v>
      </c>
      <c r="O431">
        <v>1</v>
      </c>
      <c r="P431" s="19" t="s">
        <v>1277</v>
      </c>
      <c r="Q431" s="19" t="s">
        <v>259</v>
      </c>
      <c r="R431" s="19" t="s">
        <v>121</v>
      </c>
      <c r="S431" s="19" t="s">
        <v>121</v>
      </c>
      <c r="T431" s="16">
        <v>145</v>
      </c>
      <c r="U431" s="16">
        <v>12.51</v>
      </c>
      <c r="V431" s="16">
        <v>157.51</v>
      </c>
      <c r="W431" s="19" t="s">
        <v>1341</v>
      </c>
      <c r="X431" s="19" t="s">
        <v>265</v>
      </c>
      <c r="Y431" s="12">
        <v>43177</v>
      </c>
      <c r="Z431" s="12">
        <v>43171</v>
      </c>
      <c r="AA431" s="12">
        <v>43177</v>
      </c>
    </row>
    <row r="432" spans="1:27" x14ac:dyDescent="0.25">
      <c r="A432">
        <v>428</v>
      </c>
      <c r="B432" s="19" t="s">
        <v>657</v>
      </c>
      <c r="C432" s="19" t="s">
        <v>254</v>
      </c>
      <c r="D432" s="19" t="s">
        <v>261</v>
      </c>
      <c r="E432" s="19" t="s">
        <v>262</v>
      </c>
      <c r="F432" s="19" t="s">
        <v>1384</v>
      </c>
      <c r="G432" s="12">
        <v>43162</v>
      </c>
      <c r="H432" s="12">
        <v>43174</v>
      </c>
      <c r="I432">
        <v>4</v>
      </c>
      <c r="J432" s="12">
        <v>43167</v>
      </c>
      <c r="K432" t="b">
        <v>1</v>
      </c>
      <c r="L432" s="12">
        <v>43164</v>
      </c>
      <c r="M432" t="b">
        <v>1</v>
      </c>
      <c r="N432">
        <v>1</v>
      </c>
      <c r="O432">
        <v>1</v>
      </c>
      <c r="P432" s="19" t="s">
        <v>1232</v>
      </c>
      <c r="Q432" s="19" t="s">
        <v>259</v>
      </c>
      <c r="R432" s="19" t="s">
        <v>121</v>
      </c>
      <c r="S432" s="19" t="s">
        <v>121</v>
      </c>
      <c r="T432" s="16">
        <v>129.9</v>
      </c>
      <c r="U432" s="16">
        <v>13.46</v>
      </c>
      <c r="V432" s="16">
        <v>143.36000000000001</v>
      </c>
      <c r="W432" s="19" t="s">
        <v>1327</v>
      </c>
      <c r="X432" s="19" t="s">
        <v>265</v>
      </c>
      <c r="Y432" s="12">
        <v>43177</v>
      </c>
      <c r="Z432" s="12">
        <v>43171</v>
      </c>
      <c r="AA432" s="12">
        <v>43177</v>
      </c>
    </row>
    <row r="433" spans="1:27" x14ac:dyDescent="0.25">
      <c r="A433">
        <v>429</v>
      </c>
      <c r="B433" s="19" t="s">
        <v>657</v>
      </c>
      <c r="C433" s="19" t="s">
        <v>254</v>
      </c>
      <c r="D433" s="19" t="s">
        <v>261</v>
      </c>
      <c r="E433" s="19" t="s">
        <v>262</v>
      </c>
      <c r="F433" s="19" t="s">
        <v>1385</v>
      </c>
      <c r="G433" s="12">
        <v>43162</v>
      </c>
      <c r="H433" s="12">
        <v>43174</v>
      </c>
      <c r="I433">
        <v>4</v>
      </c>
      <c r="J433" s="12">
        <v>43167</v>
      </c>
      <c r="K433" t="b">
        <v>1</v>
      </c>
      <c r="L433" s="12">
        <v>43164</v>
      </c>
      <c r="M433" t="b">
        <v>1</v>
      </c>
      <c r="N433">
        <v>1</v>
      </c>
      <c r="O433">
        <v>1</v>
      </c>
      <c r="P433" s="19" t="s">
        <v>1386</v>
      </c>
      <c r="Q433" s="19" t="s">
        <v>259</v>
      </c>
      <c r="R433" s="19" t="s">
        <v>121</v>
      </c>
      <c r="S433" s="19" t="s">
        <v>121</v>
      </c>
      <c r="T433" s="16">
        <v>9.9</v>
      </c>
      <c r="U433" s="16">
        <v>7.78</v>
      </c>
      <c r="V433" s="16">
        <v>17.68</v>
      </c>
      <c r="W433" s="19" t="s">
        <v>1327</v>
      </c>
      <c r="X433" s="19" t="s">
        <v>265</v>
      </c>
      <c r="Y433" s="12">
        <v>43177</v>
      </c>
      <c r="Z433" s="12">
        <v>43171</v>
      </c>
      <c r="AA433" s="12">
        <v>43177</v>
      </c>
    </row>
    <row r="434" spans="1:27" x14ac:dyDescent="0.25">
      <c r="A434">
        <v>430</v>
      </c>
      <c r="B434" s="19" t="s">
        <v>657</v>
      </c>
      <c r="C434" s="19" t="s">
        <v>254</v>
      </c>
      <c r="D434" s="19" t="s">
        <v>261</v>
      </c>
      <c r="E434" s="19" t="s">
        <v>262</v>
      </c>
      <c r="F434" s="19" t="s">
        <v>1387</v>
      </c>
      <c r="G434" s="12">
        <v>43159</v>
      </c>
      <c r="H434" s="12">
        <v>43174</v>
      </c>
      <c r="I434">
        <v>4</v>
      </c>
      <c r="J434" s="12">
        <v>43168</v>
      </c>
      <c r="K434" t="b">
        <v>1</v>
      </c>
      <c r="L434" s="12">
        <v>43167</v>
      </c>
      <c r="M434" t="b">
        <v>1</v>
      </c>
      <c r="N434">
        <v>1</v>
      </c>
      <c r="O434">
        <v>1</v>
      </c>
      <c r="P434" s="19" t="s">
        <v>1388</v>
      </c>
      <c r="Q434" s="19" t="s">
        <v>259</v>
      </c>
      <c r="R434" s="19" t="s">
        <v>121</v>
      </c>
      <c r="S434" s="19" t="s">
        <v>121</v>
      </c>
      <c r="T434" s="16">
        <v>186</v>
      </c>
      <c r="U434" s="16">
        <v>14.91</v>
      </c>
      <c r="V434" s="16">
        <v>200.91</v>
      </c>
      <c r="W434" s="19" t="s">
        <v>1363</v>
      </c>
      <c r="X434" s="19" t="s">
        <v>265</v>
      </c>
      <c r="Y434" s="12">
        <v>43177</v>
      </c>
      <c r="Z434" s="12">
        <v>43171</v>
      </c>
      <c r="AA434" s="12">
        <v>43177</v>
      </c>
    </row>
    <row r="435" spans="1:27" x14ac:dyDescent="0.25">
      <c r="A435">
        <v>431</v>
      </c>
      <c r="B435" s="19" t="s">
        <v>657</v>
      </c>
      <c r="C435" s="19" t="s">
        <v>254</v>
      </c>
      <c r="D435" s="19" t="s">
        <v>255</v>
      </c>
      <c r="E435" s="19" t="s">
        <v>256</v>
      </c>
      <c r="F435" s="19" t="s">
        <v>709</v>
      </c>
      <c r="G435" s="12">
        <v>43160</v>
      </c>
      <c r="H435" s="12">
        <v>43174</v>
      </c>
      <c r="I435">
        <v>4</v>
      </c>
      <c r="J435" s="12">
        <v>43168</v>
      </c>
      <c r="K435" t="b">
        <v>1</v>
      </c>
      <c r="L435" s="12"/>
      <c r="M435" t="b">
        <v>1</v>
      </c>
      <c r="N435">
        <v>1</v>
      </c>
      <c r="O435">
        <v>1</v>
      </c>
      <c r="P435" s="19" t="s">
        <v>365</v>
      </c>
      <c r="Q435" s="19" t="s">
        <v>259</v>
      </c>
      <c r="R435" s="19" t="s">
        <v>121</v>
      </c>
      <c r="S435" s="19" t="s">
        <v>121</v>
      </c>
      <c r="T435" s="16">
        <v>94.99</v>
      </c>
      <c r="U435" s="16">
        <v>8.86</v>
      </c>
      <c r="V435" s="16">
        <v>103.85</v>
      </c>
      <c r="W435" s="19" t="s">
        <v>1389</v>
      </c>
      <c r="X435" s="19" t="s">
        <v>260</v>
      </c>
      <c r="Y435" s="12">
        <v>43177</v>
      </c>
      <c r="Z435" s="12">
        <v>43171</v>
      </c>
      <c r="AA435" s="12">
        <v>43177</v>
      </c>
    </row>
    <row r="436" spans="1:27" x14ac:dyDescent="0.25">
      <c r="A436">
        <v>432</v>
      </c>
      <c r="B436" s="19" t="s">
        <v>657</v>
      </c>
      <c r="C436" s="19" t="s">
        <v>254</v>
      </c>
      <c r="D436" s="19" t="s">
        <v>255</v>
      </c>
      <c r="E436" s="19" t="s">
        <v>256</v>
      </c>
      <c r="F436" s="19" t="s">
        <v>710</v>
      </c>
      <c r="G436" s="12">
        <v>43164</v>
      </c>
      <c r="H436" s="12">
        <v>43174</v>
      </c>
      <c r="I436">
        <v>4</v>
      </c>
      <c r="J436" s="12">
        <v>43168</v>
      </c>
      <c r="K436" t="b">
        <v>1</v>
      </c>
      <c r="L436" s="12"/>
      <c r="M436" t="b">
        <v>1</v>
      </c>
      <c r="N436">
        <v>1</v>
      </c>
      <c r="O436">
        <v>1</v>
      </c>
      <c r="P436" s="19" t="s">
        <v>707</v>
      </c>
      <c r="Q436" s="19" t="s">
        <v>259</v>
      </c>
      <c r="R436" s="19" t="s">
        <v>135</v>
      </c>
      <c r="S436" s="19" t="s">
        <v>135</v>
      </c>
      <c r="T436" s="16">
        <v>81</v>
      </c>
      <c r="U436" s="16">
        <v>9.98</v>
      </c>
      <c r="V436" s="16">
        <v>90.98</v>
      </c>
      <c r="W436" s="19" t="s">
        <v>1390</v>
      </c>
      <c r="X436" s="19" t="s">
        <v>260</v>
      </c>
      <c r="Y436" s="12">
        <v>43177</v>
      </c>
      <c r="Z436" s="12">
        <v>43171</v>
      </c>
      <c r="AA436" s="12">
        <v>43177</v>
      </c>
    </row>
    <row r="437" spans="1:27" x14ac:dyDescent="0.25">
      <c r="A437">
        <v>433</v>
      </c>
      <c r="B437" s="19" t="s">
        <v>657</v>
      </c>
      <c r="C437" s="19" t="s">
        <v>254</v>
      </c>
      <c r="D437" s="19" t="s">
        <v>255</v>
      </c>
      <c r="E437" s="19" t="s">
        <v>256</v>
      </c>
      <c r="F437" s="19" t="s">
        <v>711</v>
      </c>
      <c r="G437" s="12">
        <v>43164</v>
      </c>
      <c r="H437" s="12">
        <v>43174</v>
      </c>
      <c r="I437">
        <v>4</v>
      </c>
      <c r="J437" s="12">
        <v>43168</v>
      </c>
      <c r="K437" t="b">
        <v>1</v>
      </c>
      <c r="L437" s="12"/>
      <c r="M437" t="b">
        <v>1</v>
      </c>
      <c r="N437">
        <v>1</v>
      </c>
      <c r="O437">
        <v>1</v>
      </c>
      <c r="P437" s="19" t="s">
        <v>708</v>
      </c>
      <c r="Q437" s="19" t="s">
        <v>259</v>
      </c>
      <c r="R437" s="19" t="s">
        <v>121</v>
      </c>
      <c r="S437" s="19" t="s">
        <v>121</v>
      </c>
      <c r="T437" s="16">
        <v>45</v>
      </c>
      <c r="U437" s="16">
        <v>8.7200000000000006</v>
      </c>
      <c r="V437" s="16">
        <v>53.72</v>
      </c>
      <c r="W437" s="19" t="s">
        <v>1390</v>
      </c>
      <c r="X437" s="19" t="s">
        <v>260</v>
      </c>
      <c r="Y437" s="12">
        <v>43177</v>
      </c>
      <c r="Z437" s="12">
        <v>43171</v>
      </c>
      <c r="AA437" s="12">
        <v>43177</v>
      </c>
    </row>
    <row r="438" spans="1:27" x14ac:dyDescent="0.25">
      <c r="A438">
        <v>434</v>
      </c>
      <c r="B438" s="19" t="s">
        <v>657</v>
      </c>
      <c r="C438" s="19" t="s">
        <v>254</v>
      </c>
      <c r="D438" s="19" t="s">
        <v>255</v>
      </c>
      <c r="E438" s="19" t="s">
        <v>256</v>
      </c>
      <c r="F438" s="19" t="s">
        <v>1391</v>
      </c>
      <c r="G438" s="12">
        <v>43160</v>
      </c>
      <c r="H438" s="12">
        <v>43174</v>
      </c>
      <c r="I438">
        <v>4</v>
      </c>
      <c r="J438" s="12"/>
      <c r="K438" t="b">
        <v>1</v>
      </c>
      <c r="L438" s="12"/>
      <c r="M438" t="b">
        <v>1</v>
      </c>
      <c r="N438">
        <v>0</v>
      </c>
      <c r="O438">
        <v>0</v>
      </c>
      <c r="P438" s="19" t="s">
        <v>172</v>
      </c>
      <c r="Q438" s="19" t="s">
        <v>285</v>
      </c>
      <c r="R438" s="19" t="s">
        <v>172</v>
      </c>
      <c r="S438" s="19" t="s">
        <v>129</v>
      </c>
      <c r="T438" s="16">
        <v>0</v>
      </c>
      <c r="U438" s="16">
        <v>0</v>
      </c>
      <c r="V438" s="16">
        <v>245.66</v>
      </c>
      <c r="W438" s="19" t="s">
        <v>172</v>
      </c>
      <c r="X438" s="19" t="s">
        <v>260</v>
      </c>
      <c r="Y438" s="12">
        <v>43177</v>
      </c>
      <c r="Z438" s="12">
        <v>43171</v>
      </c>
      <c r="AA438" s="12">
        <v>43177</v>
      </c>
    </row>
    <row r="439" spans="1:27" x14ac:dyDescent="0.25">
      <c r="A439">
        <v>435</v>
      </c>
      <c r="B439" s="19" t="s">
        <v>657</v>
      </c>
      <c r="C439" s="19" t="s">
        <v>254</v>
      </c>
      <c r="D439" s="19" t="s">
        <v>255</v>
      </c>
      <c r="E439" s="19" t="s">
        <v>256</v>
      </c>
      <c r="F439" s="19" t="s">
        <v>1392</v>
      </c>
      <c r="G439" s="12">
        <v>43162</v>
      </c>
      <c r="H439" s="12">
        <v>43174</v>
      </c>
      <c r="I439">
        <v>4</v>
      </c>
      <c r="J439" s="12"/>
      <c r="K439" t="b">
        <v>1</v>
      </c>
      <c r="L439" s="12"/>
      <c r="M439" t="b">
        <v>1</v>
      </c>
      <c r="N439">
        <v>0</v>
      </c>
      <c r="O439">
        <v>0</v>
      </c>
      <c r="P439" s="19" t="s">
        <v>172</v>
      </c>
      <c r="Q439" s="19" t="s">
        <v>285</v>
      </c>
      <c r="R439" s="19" t="s">
        <v>172</v>
      </c>
      <c r="S439" s="19" t="s">
        <v>121</v>
      </c>
      <c r="T439" s="16">
        <v>0</v>
      </c>
      <c r="U439" s="16">
        <v>0</v>
      </c>
      <c r="V439" s="16">
        <v>282.3</v>
      </c>
      <c r="W439" s="19" t="s">
        <v>172</v>
      </c>
      <c r="X439" s="19" t="s">
        <v>260</v>
      </c>
      <c r="Y439" s="12">
        <v>43177</v>
      </c>
      <c r="Z439" s="12">
        <v>43171</v>
      </c>
      <c r="AA439" s="12">
        <v>43177</v>
      </c>
    </row>
    <row r="440" spans="1:27" x14ac:dyDescent="0.25">
      <c r="A440">
        <v>436</v>
      </c>
      <c r="B440" s="19" t="s">
        <v>657</v>
      </c>
      <c r="C440" s="19" t="s">
        <v>254</v>
      </c>
      <c r="D440" s="19" t="s">
        <v>255</v>
      </c>
      <c r="E440" s="19" t="s">
        <v>256</v>
      </c>
      <c r="F440" s="19" t="s">
        <v>1393</v>
      </c>
      <c r="G440" s="12">
        <v>43148</v>
      </c>
      <c r="H440" s="12">
        <v>43174</v>
      </c>
      <c r="I440">
        <v>4</v>
      </c>
      <c r="J440" s="12"/>
      <c r="K440" t="b">
        <v>1</v>
      </c>
      <c r="L440" s="12"/>
      <c r="M440" t="b">
        <v>1</v>
      </c>
      <c r="N440">
        <v>0</v>
      </c>
      <c r="O440">
        <v>0</v>
      </c>
      <c r="P440" s="19" t="s">
        <v>172</v>
      </c>
      <c r="Q440" s="19" t="s">
        <v>285</v>
      </c>
      <c r="R440" s="19" t="s">
        <v>172</v>
      </c>
      <c r="S440" s="19" t="s">
        <v>131</v>
      </c>
      <c r="T440" s="16">
        <v>0</v>
      </c>
      <c r="U440" s="16">
        <v>0</v>
      </c>
      <c r="V440" s="16">
        <v>84.14</v>
      </c>
      <c r="W440" s="19" t="s">
        <v>172</v>
      </c>
      <c r="X440" s="19" t="s">
        <v>260</v>
      </c>
      <c r="Y440" s="12">
        <v>43177</v>
      </c>
      <c r="Z440" s="12">
        <v>43171</v>
      </c>
      <c r="AA440" s="12">
        <v>43177</v>
      </c>
    </row>
    <row r="441" spans="1:27" x14ac:dyDescent="0.25">
      <c r="A441">
        <v>437</v>
      </c>
      <c r="B441" s="19" t="s">
        <v>657</v>
      </c>
      <c r="C441" s="19" t="s">
        <v>254</v>
      </c>
      <c r="D441" s="19" t="s">
        <v>255</v>
      </c>
      <c r="E441" s="19" t="s">
        <v>256</v>
      </c>
      <c r="F441" s="19" t="s">
        <v>1394</v>
      </c>
      <c r="G441" s="12">
        <v>43163</v>
      </c>
      <c r="H441" s="12">
        <v>43174</v>
      </c>
      <c r="I441">
        <v>4</v>
      </c>
      <c r="J441" s="12"/>
      <c r="K441" t="b">
        <v>1</v>
      </c>
      <c r="L441" s="12"/>
      <c r="M441" t="b">
        <v>1</v>
      </c>
      <c r="N441">
        <v>0</v>
      </c>
      <c r="O441">
        <v>0</v>
      </c>
      <c r="P441" s="19" t="s">
        <v>172</v>
      </c>
      <c r="Q441" s="19" t="s">
        <v>285</v>
      </c>
      <c r="R441" s="19" t="s">
        <v>172</v>
      </c>
      <c r="S441" s="19" t="s">
        <v>121</v>
      </c>
      <c r="T441" s="16">
        <v>0</v>
      </c>
      <c r="U441" s="16">
        <v>0</v>
      </c>
      <c r="V441" s="16">
        <v>128.80000000000001</v>
      </c>
      <c r="W441" s="19" t="s">
        <v>172</v>
      </c>
      <c r="X441" s="19" t="s">
        <v>260</v>
      </c>
      <c r="Y441" s="12">
        <v>43177</v>
      </c>
      <c r="Z441" s="12">
        <v>43171</v>
      </c>
      <c r="AA441" s="12">
        <v>43177</v>
      </c>
    </row>
    <row r="442" spans="1:27" x14ac:dyDescent="0.25">
      <c r="A442">
        <v>438</v>
      </c>
      <c r="B442" s="19" t="s">
        <v>657</v>
      </c>
      <c r="C442" s="19" t="s">
        <v>254</v>
      </c>
      <c r="D442" s="19" t="s">
        <v>255</v>
      </c>
      <c r="E442" s="19" t="s">
        <v>256</v>
      </c>
      <c r="F442" s="19" t="s">
        <v>1395</v>
      </c>
      <c r="G442" s="12">
        <v>43151</v>
      </c>
      <c r="H442" s="12">
        <v>43174</v>
      </c>
      <c r="I442">
        <v>4</v>
      </c>
      <c r="J442" s="12"/>
      <c r="K442" t="b">
        <v>1</v>
      </c>
      <c r="L442" s="12"/>
      <c r="M442" t="b">
        <v>1</v>
      </c>
      <c r="N442">
        <v>0</v>
      </c>
      <c r="O442">
        <v>0</v>
      </c>
      <c r="P442" s="19" t="s">
        <v>172</v>
      </c>
      <c r="Q442" s="19" t="s">
        <v>285</v>
      </c>
      <c r="R442" s="19" t="s">
        <v>172</v>
      </c>
      <c r="S442" s="19" t="s">
        <v>121</v>
      </c>
      <c r="T442" s="16">
        <v>0</v>
      </c>
      <c r="U442" s="16">
        <v>0</v>
      </c>
      <c r="V442" s="16">
        <v>153.9</v>
      </c>
      <c r="W442" s="19" t="s">
        <v>172</v>
      </c>
      <c r="X442" s="19" t="s">
        <v>260</v>
      </c>
      <c r="Y442" s="12">
        <v>43177</v>
      </c>
      <c r="Z442" s="12">
        <v>43171</v>
      </c>
      <c r="AA442" s="12">
        <v>43177</v>
      </c>
    </row>
    <row r="443" spans="1:27" x14ac:dyDescent="0.25">
      <c r="A443">
        <v>439</v>
      </c>
      <c r="B443" s="19" t="s">
        <v>712</v>
      </c>
      <c r="C443" s="19" t="s">
        <v>254</v>
      </c>
      <c r="D443" s="19" t="s">
        <v>261</v>
      </c>
      <c r="E443" s="19" t="s">
        <v>262</v>
      </c>
      <c r="F443" s="19" t="s">
        <v>1396</v>
      </c>
      <c r="G443" s="12">
        <v>43139</v>
      </c>
      <c r="H443" s="12">
        <v>43175</v>
      </c>
      <c r="I443">
        <v>3</v>
      </c>
      <c r="J443" s="12">
        <v>43146</v>
      </c>
      <c r="K443" t="b">
        <v>1</v>
      </c>
      <c r="L443" s="12">
        <v>43145</v>
      </c>
      <c r="M443" t="b">
        <v>1</v>
      </c>
      <c r="N443">
        <v>1</v>
      </c>
      <c r="O443">
        <v>1</v>
      </c>
      <c r="P443" s="19" t="s">
        <v>603</v>
      </c>
      <c r="Q443" s="19" t="s">
        <v>259</v>
      </c>
      <c r="R443" s="19" t="s">
        <v>135</v>
      </c>
      <c r="S443" s="19" t="s">
        <v>152</v>
      </c>
      <c r="T443" s="16">
        <v>79</v>
      </c>
      <c r="U443" s="16">
        <v>42.58</v>
      </c>
      <c r="V443" s="16">
        <v>121.58</v>
      </c>
      <c r="W443" s="19" t="s">
        <v>1397</v>
      </c>
      <c r="X443" s="19" t="s">
        <v>265</v>
      </c>
      <c r="Y443" s="12">
        <v>43177</v>
      </c>
      <c r="Z443" s="12">
        <v>43171</v>
      </c>
      <c r="AA443" s="12">
        <v>43177</v>
      </c>
    </row>
    <row r="444" spans="1:27" x14ac:dyDescent="0.25">
      <c r="A444">
        <v>440</v>
      </c>
      <c r="B444" s="19" t="s">
        <v>712</v>
      </c>
      <c r="C444" s="19" t="s">
        <v>254</v>
      </c>
      <c r="D444" s="19" t="s">
        <v>261</v>
      </c>
      <c r="E444" s="19" t="s">
        <v>262</v>
      </c>
      <c r="F444" s="19" t="s">
        <v>1398</v>
      </c>
      <c r="G444" s="12">
        <v>43135</v>
      </c>
      <c r="H444" s="12">
        <v>43175</v>
      </c>
      <c r="I444">
        <v>3</v>
      </c>
      <c r="J444" s="12">
        <v>43147</v>
      </c>
      <c r="K444" t="b">
        <v>1</v>
      </c>
      <c r="L444" s="12">
        <v>43150</v>
      </c>
      <c r="M444" t="b">
        <v>1</v>
      </c>
      <c r="N444">
        <v>2</v>
      </c>
      <c r="O444">
        <v>1</v>
      </c>
      <c r="P444" s="19" t="s">
        <v>476</v>
      </c>
      <c r="Q444" s="19" t="s">
        <v>259</v>
      </c>
      <c r="R444" s="19" t="s">
        <v>121</v>
      </c>
      <c r="S444" s="19" t="s">
        <v>122</v>
      </c>
      <c r="T444" s="16">
        <v>159.97999999999999</v>
      </c>
      <c r="U444" s="16">
        <v>60.8</v>
      </c>
      <c r="V444" s="16">
        <v>220.78</v>
      </c>
      <c r="W444" s="19" t="s">
        <v>1399</v>
      </c>
      <c r="X444" s="19" t="s">
        <v>265</v>
      </c>
      <c r="Y444" s="12">
        <v>43177</v>
      </c>
      <c r="Z444" s="12">
        <v>43171</v>
      </c>
      <c r="AA444" s="12">
        <v>43177</v>
      </c>
    </row>
    <row r="445" spans="1:27" x14ac:dyDescent="0.25">
      <c r="A445">
        <v>441</v>
      </c>
      <c r="B445" s="19" t="s">
        <v>712</v>
      </c>
      <c r="C445" s="19" t="s">
        <v>254</v>
      </c>
      <c r="D445" s="19" t="s">
        <v>261</v>
      </c>
      <c r="E445" s="19" t="s">
        <v>262</v>
      </c>
      <c r="F445" s="19" t="s">
        <v>1400</v>
      </c>
      <c r="G445" s="12">
        <v>43136</v>
      </c>
      <c r="H445" s="12">
        <v>43175</v>
      </c>
      <c r="I445">
        <v>3</v>
      </c>
      <c r="J445" s="12">
        <v>43150</v>
      </c>
      <c r="K445" t="b">
        <v>1</v>
      </c>
      <c r="L445" s="12">
        <v>43150</v>
      </c>
      <c r="M445" t="b">
        <v>1</v>
      </c>
      <c r="N445">
        <v>1</v>
      </c>
      <c r="O445">
        <v>1</v>
      </c>
      <c r="P445" s="19" t="s">
        <v>476</v>
      </c>
      <c r="Q445" s="19" t="s">
        <v>259</v>
      </c>
      <c r="R445" s="19" t="s">
        <v>121</v>
      </c>
      <c r="S445" s="19" t="s">
        <v>121</v>
      </c>
      <c r="T445" s="16">
        <v>192.99</v>
      </c>
      <c r="U445" s="16">
        <v>34.619999999999997</v>
      </c>
      <c r="V445" s="16">
        <v>227.61</v>
      </c>
      <c r="W445" s="19" t="s">
        <v>1399</v>
      </c>
      <c r="X445" s="19" t="s">
        <v>265</v>
      </c>
      <c r="Y445" s="12">
        <v>43177</v>
      </c>
      <c r="Z445" s="12">
        <v>43171</v>
      </c>
      <c r="AA445" s="12">
        <v>43177</v>
      </c>
    </row>
    <row r="446" spans="1:27" x14ac:dyDescent="0.25">
      <c r="A446">
        <v>442</v>
      </c>
      <c r="B446" s="19" t="s">
        <v>712</v>
      </c>
      <c r="C446" s="19" t="s">
        <v>254</v>
      </c>
      <c r="D446" s="19" t="s">
        <v>261</v>
      </c>
      <c r="E446" s="19" t="s">
        <v>262</v>
      </c>
      <c r="F446" s="19" t="s">
        <v>1401</v>
      </c>
      <c r="G446" s="12">
        <v>43139</v>
      </c>
      <c r="H446" s="12">
        <v>43175</v>
      </c>
      <c r="I446">
        <v>3</v>
      </c>
      <c r="J446" s="12">
        <v>43150</v>
      </c>
      <c r="K446" t="b">
        <v>1</v>
      </c>
      <c r="L446" s="12">
        <v>43147</v>
      </c>
      <c r="M446" t="b">
        <v>1</v>
      </c>
      <c r="N446">
        <v>1</v>
      </c>
      <c r="O446">
        <v>1</v>
      </c>
      <c r="P446" s="19" t="s">
        <v>483</v>
      </c>
      <c r="Q446" s="19" t="s">
        <v>259</v>
      </c>
      <c r="R446" s="19" t="s">
        <v>121</v>
      </c>
      <c r="S446" s="19" t="s">
        <v>125</v>
      </c>
      <c r="T446" s="16">
        <v>180</v>
      </c>
      <c r="U446" s="16">
        <v>16.010000000000002</v>
      </c>
      <c r="V446" s="16">
        <v>196.01</v>
      </c>
      <c r="W446" s="19" t="s">
        <v>1402</v>
      </c>
      <c r="X446" s="19" t="s">
        <v>265</v>
      </c>
      <c r="Y446" s="12">
        <v>43177</v>
      </c>
      <c r="Z446" s="12">
        <v>43171</v>
      </c>
      <c r="AA446" s="12">
        <v>43177</v>
      </c>
    </row>
    <row r="447" spans="1:27" x14ac:dyDescent="0.25">
      <c r="A447">
        <v>443</v>
      </c>
      <c r="B447" s="19" t="s">
        <v>712</v>
      </c>
      <c r="C447" s="19" t="s">
        <v>254</v>
      </c>
      <c r="D447" s="19" t="s">
        <v>261</v>
      </c>
      <c r="E447" s="19" t="s">
        <v>262</v>
      </c>
      <c r="F447" s="19" t="s">
        <v>1403</v>
      </c>
      <c r="G447" s="12">
        <v>43145</v>
      </c>
      <c r="H447" s="12">
        <v>43175</v>
      </c>
      <c r="I447">
        <v>3</v>
      </c>
      <c r="J447" s="12">
        <v>43151</v>
      </c>
      <c r="K447" t="b">
        <v>1</v>
      </c>
      <c r="L447" s="12">
        <v>43146</v>
      </c>
      <c r="M447" t="b">
        <v>1</v>
      </c>
      <c r="N447">
        <v>1</v>
      </c>
      <c r="O447">
        <v>1</v>
      </c>
      <c r="P447" s="19" t="s">
        <v>545</v>
      </c>
      <c r="Q447" s="19" t="s">
        <v>259</v>
      </c>
      <c r="R447" s="19" t="s">
        <v>121</v>
      </c>
      <c r="S447" s="19" t="s">
        <v>138</v>
      </c>
      <c r="T447" s="16">
        <v>27.3</v>
      </c>
      <c r="U447" s="16">
        <v>15.1</v>
      </c>
      <c r="V447" s="16">
        <v>42.4</v>
      </c>
      <c r="W447" s="19" t="s">
        <v>1404</v>
      </c>
      <c r="X447" s="19" t="s">
        <v>265</v>
      </c>
      <c r="Y447" s="12">
        <v>43177</v>
      </c>
      <c r="Z447" s="12">
        <v>43171</v>
      </c>
      <c r="AA447" s="12">
        <v>43177</v>
      </c>
    </row>
    <row r="448" spans="1:27" x14ac:dyDescent="0.25">
      <c r="A448">
        <v>444</v>
      </c>
      <c r="B448" s="19" t="s">
        <v>712</v>
      </c>
      <c r="C448" s="19" t="s">
        <v>254</v>
      </c>
      <c r="D448" s="19" t="s">
        <v>255</v>
      </c>
      <c r="E448" s="19" t="s">
        <v>256</v>
      </c>
      <c r="F448" s="19" t="s">
        <v>713</v>
      </c>
      <c r="G448" s="12">
        <v>43146</v>
      </c>
      <c r="H448" s="12">
        <v>43175</v>
      </c>
      <c r="I448">
        <v>3</v>
      </c>
      <c r="J448" s="12">
        <v>43152</v>
      </c>
      <c r="K448" t="b">
        <v>1</v>
      </c>
      <c r="L448" s="12"/>
      <c r="M448" t="b">
        <v>1</v>
      </c>
      <c r="N448">
        <v>1</v>
      </c>
      <c r="O448">
        <v>1</v>
      </c>
      <c r="P448" s="19" t="s">
        <v>673</v>
      </c>
      <c r="Q448" s="19" t="s">
        <v>259</v>
      </c>
      <c r="R448" s="19" t="s">
        <v>121</v>
      </c>
      <c r="S448" s="19" t="s">
        <v>189</v>
      </c>
      <c r="T448" s="16">
        <v>149.9</v>
      </c>
      <c r="U448" s="16">
        <v>38.6</v>
      </c>
      <c r="V448" s="16">
        <v>188.5</v>
      </c>
      <c r="W448" s="19" t="s">
        <v>1405</v>
      </c>
      <c r="X448" s="19" t="s">
        <v>260</v>
      </c>
      <c r="Y448" s="12">
        <v>43177</v>
      </c>
      <c r="Z448" s="12">
        <v>43171</v>
      </c>
      <c r="AA448" s="12">
        <v>43177</v>
      </c>
    </row>
    <row r="449" spans="1:27" x14ac:dyDescent="0.25">
      <c r="A449">
        <v>445</v>
      </c>
      <c r="B449" s="19" t="s">
        <v>712</v>
      </c>
      <c r="C449" s="19" t="s">
        <v>254</v>
      </c>
      <c r="D449" s="19" t="s">
        <v>261</v>
      </c>
      <c r="E449" s="19" t="s">
        <v>262</v>
      </c>
      <c r="F449" s="19" t="s">
        <v>1406</v>
      </c>
      <c r="G449" s="12">
        <v>43146</v>
      </c>
      <c r="H449" s="12">
        <v>43175</v>
      </c>
      <c r="I449">
        <v>3</v>
      </c>
      <c r="J449" s="12">
        <v>43152</v>
      </c>
      <c r="K449" t="b">
        <v>1</v>
      </c>
      <c r="L449" s="12">
        <v>43147</v>
      </c>
      <c r="M449" t="b">
        <v>1</v>
      </c>
      <c r="N449">
        <v>1</v>
      </c>
      <c r="O449">
        <v>1</v>
      </c>
      <c r="P449" s="19" t="s">
        <v>396</v>
      </c>
      <c r="Q449" s="19" t="s">
        <v>259</v>
      </c>
      <c r="R449" s="19" t="s">
        <v>131</v>
      </c>
      <c r="S449" s="19" t="s">
        <v>129</v>
      </c>
      <c r="T449" s="16">
        <v>50.9</v>
      </c>
      <c r="U449" s="16">
        <v>17.93</v>
      </c>
      <c r="V449" s="16">
        <v>68.83</v>
      </c>
      <c r="W449" s="19" t="s">
        <v>1402</v>
      </c>
      <c r="X449" s="19" t="s">
        <v>265</v>
      </c>
      <c r="Y449" s="12">
        <v>43177</v>
      </c>
      <c r="Z449" s="12">
        <v>43171</v>
      </c>
      <c r="AA449" s="12">
        <v>43177</v>
      </c>
    </row>
    <row r="450" spans="1:27" x14ac:dyDescent="0.25">
      <c r="A450">
        <v>446</v>
      </c>
      <c r="B450" s="19" t="s">
        <v>712</v>
      </c>
      <c r="C450" s="19" t="s">
        <v>254</v>
      </c>
      <c r="D450" s="19" t="s">
        <v>261</v>
      </c>
      <c r="E450" s="19" t="s">
        <v>262</v>
      </c>
      <c r="F450" s="19" t="s">
        <v>1407</v>
      </c>
      <c r="G450" s="12">
        <v>43147</v>
      </c>
      <c r="H450" s="12">
        <v>43175</v>
      </c>
      <c r="I450">
        <v>3</v>
      </c>
      <c r="J450" s="12">
        <v>43153</v>
      </c>
      <c r="K450" t="b">
        <v>1</v>
      </c>
      <c r="L450" s="12">
        <v>43150</v>
      </c>
      <c r="M450" t="b">
        <v>1</v>
      </c>
      <c r="N450">
        <v>1</v>
      </c>
      <c r="O450">
        <v>1</v>
      </c>
      <c r="P450" s="19" t="s">
        <v>485</v>
      </c>
      <c r="Q450" s="19" t="s">
        <v>259</v>
      </c>
      <c r="R450" s="19" t="s">
        <v>121</v>
      </c>
      <c r="S450" s="19" t="s">
        <v>182</v>
      </c>
      <c r="T450" s="16">
        <v>229.99</v>
      </c>
      <c r="U450" s="16">
        <v>31.02</v>
      </c>
      <c r="V450" s="16">
        <v>261.01</v>
      </c>
      <c r="W450" s="19" t="s">
        <v>1399</v>
      </c>
      <c r="X450" s="19" t="s">
        <v>265</v>
      </c>
      <c r="Y450" s="12">
        <v>43177</v>
      </c>
      <c r="Z450" s="12">
        <v>43171</v>
      </c>
      <c r="AA450" s="12">
        <v>43177</v>
      </c>
    </row>
    <row r="451" spans="1:27" x14ac:dyDescent="0.25">
      <c r="A451">
        <v>447</v>
      </c>
      <c r="B451" s="19" t="s">
        <v>712</v>
      </c>
      <c r="C451" s="19" t="s">
        <v>254</v>
      </c>
      <c r="D451" s="19" t="s">
        <v>261</v>
      </c>
      <c r="E451" s="19" t="s">
        <v>262</v>
      </c>
      <c r="F451" s="19" t="s">
        <v>1408</v>
      </c>
      <c r="G451" s="12">
        <v>43148</v>
      </c>
      <c r="H451" s="12">
        <v>43175</v>
      </c>
      <c r="I451">
        <v>3</v>
      </c>
      <c r="J451" s="12">
        <v>43153</v>
      </c>
      <c r="K451" t="b">
        <v>1</v>
      </c>
      <c r="L451" s="12">
        <v>43151</v>
      </c>
      <c r="M451" t="b">
        <v>1</v>
      </c>
      <c r="N451">
        <v>1</v>
      </c>
      <c r="O451">
        <v>1</v>
      </c>
      <c r="P451" s="19" t="s">
        <v>417</v>
      </c>
      <c r="Q451" s="19" t="s">
        <v>259</v>
      </c>
      <c r="R451" s="19" t="s">
        <v>121</v>
      </c>
      <c r="S451" s="19" t="s">
        <v>160</v>
      </c>
      <c r="T451" s="16">
        <v>150</v>
      </c>
      <c r="U451" s="16">
        <v>34.85</v>
      </c>
      <c r="V451" s="16">
        <v>184.85</v>
      </c>
      <c r="W451" s="19" t="s">
        <v>1409</v>
      </c>
      <c r="X451" s="19" t="s">
        <v>265</v>
      </c>
      <c r="Y451" s="12">
        <v>43177</v>
      </c>
      <c r="Z451" s="12">
        <v>43171</v>
      </c>
      <c r="AA451" s="12">
        <v>43177</v>
      </c>
    </row>
    <row r="452" spans="1:27" x14ac:dyDescent="0.25">
      <c r="A452">
        <v>448</v>
      </c>
      <c r="B452" s="19" t="s">
        <v>712</v>
      </c>
      <c r="C452" s="19" t="s">
        <v>254</v>
      </c>
      <c r="D452" s="19" t="s">
        <v>261</v>
      </c>
      <c r="E452" s="19" t="s">
        <v>262</v>
      </c>
      <c r="F452" s="19" t="s">
        <v>1410</v>
      </c>
      <c r="G452" s="12">
        <v>43137</v>
      </c>
      <c r="H452" s="12">
        <v>43175</v>
      </c>
      <c r="I452">
        <v>3</v>
      </c>
      <c r="J452" s="12">
        <v>43153</v>
      </c>
      <c r="K452" t="b">
        <v>1</v>
      </c>
      <c r="L452" s="12">
        <v>43159</v>
      </c>
      <c r="M452" t="b">
        <v>1</v>
      </c>
      <c r="N452">
        <v>1</v>
      </c>
      <c r="O452">
        <v>1</v>
      </c>
      <c r="P452" s="19" t="s">
        <v>714</v>
      </c>
      <c r="Q452" s="19" t="s">
        <v>259</v>
      </c>
      <c r="R452" s="19" t="s">
        <v>121</v>
      </c>
      <c r="S452" s="19" t="s">
        <v>122</v>
      </c>
      <c r="T452" s="16">
        <v>129.88999999999999</v>
      </c>
      <c r="U452" s="16">
        <v>16.670000000000002</v>
      </c>
      <c r="V452" s="16">
        <v>146.56</v>
      </c>
      <c r="W452" s="19" t="s">
        <v>1411</v>
      </c>
      <c r="X452" s="19" t="s">
        <v>265</v>
      </c>
      <c r="Y452" s="12">
        <v>43177</v>
      </c>
      <c r="Z452" s="12">
        <v>43171</v>
      </c>
      <c r="AA452" s="12">
        <v>43177</v>
      </c>
    </row>
    <row r="453" spans="1:27" x14ac:dyDescent="0.25">
      <c r="A453">
        <v>449</v>
      </c>
      <c r="B453" s="19" t="s">
        <v>712</v>
      </c>
      <c r="C453" s="19" t="s">
        <v>254</v>
      </c>
      <c r="D453" s="19" t="s">
        <v>261</v>
      </c>
      <c r="E453" s="19" t="s">
        <v>262</v>
      </c>
      <c r="F453" s="19" t="s">
        <v>1412</v>
      </c>
      <c r="G453" s="12">
        <v>43149</v>
      </c>
      <c r="H453" s="12">
        <v>43175</v>
      </c>
      <c r="I453">
        <v>3</v>
      </c>
      <c r="J453" s="12">
        <v>43153</v>
      </c>
      <c r="K453" t="b">
        <v>1</v>
      </c>
      <c r="L453" s="12">
        <v>43151</v>
      </c>
      <c r="M453" t="b">
        <v>1</v>
      </c>
      <c r="N453">
        <v>1</v>
      </c>
      <c r="O453">
        <v>1</v>
      </c>
      <c r="P453" s="19" t="s">
        <v>1167</v>
      </c>
      <c r="Q453" s="19" t="s">
        <v>259</v>
      </c>
      <c r="R453" s="19" t="s">
        <v>121</v>
      </c>
      <c r="S453" s="19" t="s">
        <v>189</v>
      </c>
      <c r="T453" s="16">
        <v>89.99</v>
      </c>
      <c r="U453" s="16">
        <v>34.43</v>
      </c>
      <c r="V453" s="16">
        <v>124.42</v>
      </c>
      <c r="W453" s="19" t="s">
        <v>1409</v>
      </c>
      <c r="X453" s="19" t="s">
        <v>265</v>
      </c>
      <c r="Y453" s="12">
        <v>43177</v>
      </c>
      <c r="Z453" s="12">
        <v>43171</v>
      </c>
      <c r="AA453" s="12">
        <v>43177</v>
      </c>
    </row>
    <row r="454" spans="1:27" x14ac:dyDescent="0.25">
      <c r="A454">
        <v>450</v>
      </c>
      <c r="B454" s="19" t="s">
        <v>712</v>
      </c>
      <c r="C454" s="19" t="s">
        <v>254</v>
      </c>
      <c r="D454" s="19" t="s">
        <v>261</v>
      </c>
      <c r="E454" s="19" t="s">
        <v>262</v>
      </c>
      <c r="F454" s="19" t="s">
        <v>1413</v>
      </c>
      <c r="G454" s="12">
        <v>43147</v>
      </c>
      <c r="H454" s="12">
        <v>43175</v>
      </c>
      <c r="I454">
        <v>3</v>
      </c>
      <c r="J454" s="12">
        <v>43153</v>
      </c>
      <c r="K454" t="b">
        <v>1</v>
      </c>
      <c r="L454" s="12">
        <v>43150</v>
      </c>
      <c r="M454" t="b">
        <v>1</v>
      </c>
      <c r="N454">
        <v>1</v>
      </c>
      <c r="O454">
        <v>1</v>
      </c>
      <c r="P454" s="19" t="s">
        <v>673</v>
      </c>
      <c r="Q454" s="19" t="s">
        <v>259</v>
      </c>
      <c r="R454" s="19" t="s">
        <v>121</v>
      </c>
      <c r="S454" s="19" t="s">
        <v>129</v>
      </c>
      <c r="T454" s="16">
        <v>68</v>
      </c>
      <c r="U454" s="16">
        <v>16.920000000000002</v>
      </c>
      <c r="V454" s="16">
        <v>84.92</v>
      </c>
      <c r="W454" s="19" t="s">
        <v>1399</v>
      </c>
      <c r="X454" s="19" t="s">
        <v>265</v>
      </c>
      <c r="Y454" s="12">
        <v>43177</v>
      </c>
      <c r="Z454" s="12">
        <v>43171</v>
      </c>
      <c r="AA454" s="12">
        <v>43177</v>
      </c>
    </row>
    <row r="455" spans="1:27" x14ac:dyDescent="0.25">
      <c r="A455">
        <v>451</v>
      </c>
      <c r="B455" s="19" t="s">
        <v>712</v>
      </c>
      <c r="C455" s="19" t="s">
        <v>254</v>
      </c>
      <c r="D455" s="19" t="s">
        <v>261</v>
      </c>
      <c r="E455" s="19" t="s">
        <v>262</v>
      </c>
      <c r="F455" s="19" t="s">
        <v>1414</v>
      </c>
      <c r="G455" s="12">
        <v>43149</v>
      </c>
      <c r="H455" s="12">
        <v>43175</v>
      </c>
      <c r="I455">
        <v>3</v>
      </c>
      <c r="J455" s="12">
        <v>43153</v>
      </c>
      <c r="K455" t="b">
        <v>1</v>
      </c>
      <c r="L455" s="12">
        <v>43152</v>
      </c>
      <c r="M455" t="b">
        <v>1</v>
      </c>
      <c r="N455">
        <v>3</v>
      </c>
      <c r="O455">
        <v>1</v>
      </c>
      <c r="P455" s="19" t="s">
        <v>664</v>
      </c>
      <c r="Q455" s="19" t="s">
        <v>259</v>
      </c>
      <c r="R455" s="19" t="s">
        <v>121</v>
      </c>
      <c r="S455" s="19" t="s">
        <v>129</v>
      </c>
      <c r="T455" s="16">
        <v>58.47</v>
      </c>
      <c r="U455" s="16">
        <v>50.37</v>
      </c>
      <c r="V455" s="16">
        <v>108.84</v>
      </c>
      <c r="W455" s="19" t="s">
        <v>1415</v>
      </c>
      <c r="X455" s="19" t="s">
        <v>265</v>
      </c>
      <c r="Y455" s="12">
        <v>43177</v>
      </c>
      <c r="Z455" s="12">
        <v>43171</v>
      </c>
      <c r="AA455" s="12">
        <v>43177</v>
      </c>
    </row>
    <row r="456" spans="1:27" x14ac:dyDescent="0.25">
      <c r="A456">
        <v>452</v>
      </c>
      <c r="B456" s="19" t="s">
        <v>712</v>
      </c>
      <c r="C456" s="19" t="s">
        <v>254</v>
      </c>
      <c r="D456" s="19" t="s">
        <v>261</v>
      </c>
      <c r="E456" s="19" t="s">
        <v>262</v>
      </c>
      <c r="F456" s="19" t="s">
        <v>1416</v>
      </c>
      <c r="G456" s="12">
        <v>43149</v>
      </c>
      <c r="H456" s="12">
        <v>43175</v>
      </c>
      <c r="I456">
        <v>3</v>
      </c>
      <c r="J456" s="12">
        <v>43153</v>
      </c>
      <c r="K456" t="b">
        <v>1</v>
      </c>
      <c r="L456" s="12">
        <v>43152</v>
      </c>
      <c r="M456" t="b">
        <v>1</v>
      </c>
      <c r="N456">
        <v>2</v>
      </c>
      <c r="O456">
        <v>1</v>
      </c>
      <c r="P456" s="19" t="s">
        <v>664</v>
      </c>
      <c r="Q456" s="19" t="s">
        <v>259</v>
      </c>
      <c r="R456" s="19" t="s">
        <v>121</v>
      </c>
      <c r="S456" s="19" t="s">
        <v>129</v>
      </c>
      <c r="T456" s="16">
        <v>38.979999999999997</v>
      </c>
      <c r="U456" s="16">
        <v>33.58</v>
      </c>
      <c r="V456" s="16">
        <v>72.56</v>
      </c>
      <c r="W456" s="19" t="s">
        <v>1415</v>
      </c>
      <c r="X456" s="19" t="s">
        <v>265</v>
      </c>
      <c r="Y456" s="12">
        <v>43177</v>
      </c>
      <c r="Z456" s="12">
        <v>43171</v>
      </c>
      <c r="AA456" s="12">
        <v>43177</v>
      </c>
    </row>
    <row r="457" spans="1:27" x14ac:dyDescent="0.25">
      <c r="A457">
        <v>453</v>
      </c>
      <c r="B457" s="19" t="s">
        <v>712</v>
      </c>
      <c r="C457" s="19" t="s">
        <v>254</v>
      </c>
      <c r="D457" s="19" t="s">
        <v>261</v>
      </c>
      <c r="E457" s="19" t="s">
        <v>262</v>
      </c>
      <c r="F457" s="19" t="s">
        <v>1417</v>
      </c>
      <c r="G457" s="12">
        <v>43149</v>
      </c>
      <c r="H457" s="12">
        <v>43175</v>
      </c>
      <c r="I457">
        <v>3</v>
      </c>
      <c r="J457" s="12">
        <v>43153</v>
      </c>
      <c r="K457" t="b">
        <v>1</v>
      </c>
      <c r="L457" s="12">
        <v>43152</v>
      </c>
      <c r="M457" t="b">
        <v>1</v>
      </c>
      <c r="N457">
        <v>1</v>
      </c>
      <c r="O457">
        <v>1</v>
      </c>
      <c r="P457" s="19" t="s">
        <v>264</v>
      </c>
      <c r="Q457" s="19" t="s">
        <v>259</v>
      </c>
      <c r="R457" s="19" t="s">
        <v>121</v>
      </c>
      <c r="S457" s="19" t="s">
        <v>135</v>
      </c>
      <c r="T457" s="16">
        <v>18.600000000000001</v>
      </c>
      <c r="U457" s="16">
        <v>16.11</v>
      </c>
      <c r="V457" s="16">
        <v>34.71</v>
      </c>
      <c r="W457" s="19" t="s">
        <v>1415</v>
      </c>
      <c r="X457" s="19" t="s">
        <v>265</v>
      </c>
      <c r="Y457" s="12">
        <v>43177</v>
      </c>
      <c r="Z457" s="12">
        <v>43171</v>
      </c>
      <c r="AA457" s="12">
        <v>43177</v>
      </c>
    </row>
    <row r="458" spans="1:27" x14ac:dyDescent="0.25">
      <c r="A458">
        <v>454</v>
      </c>
      <c r="B458" s="19" t="s">
        <v>712</v>
      </c>
      <c r="C458" s="19" t="s">
        <v>254</v>
      </c>
      <c r="D458" s="19" t="s">
        <v>261</v>
      </c>
      <c r="E458" s="19" t="s">
        <v>262</v>
      </c>
      <c r="F458" s="19" t="s">
        <v>1418</v>
      </c>
      <c r="G458" s="12">
        <v>43149</v>
      </c>
      <c r="H458" s="12">
        <v>43175</v>
      </c>
      <c r="I458">
        <v>3</v>
      </c>
      <c r="J458" s="12">
        <v>43153</v>
      </c>
      <c r="K458" t="b">
        <v>1</v>
      </c>
      <c r="L458" s="12">
        <v>43150</v>
      </c>
      <c r="M458" t="b">
        <v>1</v>
      </c>
      <c r="N458">
        <v>1</v>
      </c>
      <c r="O458">
        <v>1</v>
      </c>
      <c r="P458" s="19" t="s">
        <v>1419</v>
      </c>
      <c r="Q458" s="19" t="s">
        <v>259</v>
      </c>
      <c r="R458" s="19" t="s">
        <v>121</v>
      </c>
      <c r="S458" s="19" t="s">
        <v>178</v>
      </c>
      <c r="T458" s="16">
        <v>16.899999999999999</v>
      </c>
      <c r="U458" s="16">
        <v>21.15</v>
      </c>
      <c r="V458" s="16">
        <v>38.049999999999997</v>
      </c>
      <c r="W458" s="19" t="s">
        <v>1399</v>
      </c>
      <c r="X458" s="19" t="s">
        <v>265</v>
      </c>
      <c r="Y458" s="12">
        <v>43177</v>
      </c>
      <c r="Z458" s="12">
        <v>43171</v>
      </c>
      <c r="AA458" s="12">
        <v>43177</v>
      </c>
    </row>
    <row r="459" spans="1:27" x14ac:dyDescent="0.25">
      <c r="A459">
        <v>455</v>
      </c>
      <c r="B459" s="19" t="s">
        <v>712</v>
      </c>
      <c r="C459" s="19" t="s">
        <v>254</v>
      </c>
      <c r="D459" s="19" t="s">
        <v>261</v>
      </c>
      <c r="E459" s="19" t="s">
        <v>262</v>
      </c>
      <c r="F459" s="19" t="s">
        <v>1420</v>
      </c>
      <c r="G459" s="12">
        <v>43150</v>
      </c>
      <c r="H459" s="12">
        <v>43175</v>
      </c>
      <c r="I459">
        <v>3</v>
      </c>
      <c r="J459" s="12">
        <v>43154</v>
      </c>
      <c r="K459" t="b">
        <v>1</v>
      </c>
      <c r="L459" s="12">
        <v>43152</v>
      </c>
      <c r="M459" t="b">
        <v>1</v>
      </c>
      <c r="N459">
        <v>1</v>
      </c>
      <c r="O459">
        <v>1</v>
      </c>
      <c r="P459" s="19" t="s">
        <v>1091</v>
      </c>
      <c r="Q459" s="19" t="s">
        <v>259</v>
      </c>
      <c r="R459" s="19" t="s">
        <v>148</v>
      </c>
      <c r="S459" s="19" t="s">
        <v>178</v>
      </c>
      <c r="T459" s="16">
        <v>149.9</v>
      </c>
      <c r="U459" s="16">
        <v>14.2</v>
      </c>
      <c r="V459" s="16">
        <v>164.1</v>
      </c>
      <c r="W459" s="19" t="s">
        <v>1415</v>
      </c>
      <c r="X459" s="19" t="s">
        <v>265</v>
      </c>
      <c r="Y459" s="12">
        <v>43177</v>
      </c>
      <c r="Z459" s="12">
        <v>43171</v>
      </c>
      <c r="AA459" s="12">
        <v>43177</v>
      </c>
    </row>
    <row r="460" spans="1:27" x14ac:dyDescent="0.25">
      <c r="A460">
        <v>456</v>
      </c>
      <c r="B460" s="19" t="s">
        <v>712</v>
      </c>
      <c r="C460" s="19" t="s">
        <v>254</v>
      </c>
      <c r="D460" s="19" t="s">
        <v>261</v>
      </c>
      <c r="E460" s="19" t="s">
        <v>262</v>
      </c>
      <c r="F460" s="19" t="s">
        <v>1421</v>
      </c>
      <c r="G460" s="12">
        <v>43150</v>
      </c>
      <c r="H460" s="12">
        <v>43175</v>
      </c>
      <c r="I460">
        <v>3</v>
      </c>
      <c r="J460" s="12">
        <v>43154</v>
      </c>
      <c r="K460" t="b">
        <v>1</v>
      </c>
      <c r="L460" s="12">
        <v>43150</v>
      </c>
      <c r="M460" t="b">
        <v>1</v>
      </c>
      <c r="N460">
        <v>1</v>
      </c>
      <c r="O460">
        <v>1</v>
      </c>
      <c r="P460" s="19" t="s">
        <v>1422</v>
      </c>
      <c r="Q460" s="19" t="s">
        <v>259</v>
      </c>
      <c r="R460" s="19" t="s">
        <v>121</v>
      </c>
      <c r="S460" s="19" t="s">
        <v>125</v>
      </c>
      <c r="T460" s="16">
        <v>44.99</v>
      </c>
      <c r="U460" s="16">
        <v>16.11</v>
      </c>
      <c r="V460" s="16">
        <v>61.1</v>
      </c>
      <c r="W460" s="19" t="s">
        <v>1399</v>
      </c>
      <c r="X460" s="19" t="s">
        <v>265</v>
      </c>
      <c r="Y460" s="12">
        <v>43177</v>
      </c>
      <c r="Z460" s="12">
        <v>43171</v>
      </c>
      <c r="AA460" s="12">
        <v>43177</v>
      </c>
    </row>
    <row r="461" spans="1:27" x14ac:dyDescent="0.25">
      <c r="A461">
        <v>457</v>
      </c>
      <c r="B461" s="19" t="s">
        <v>712</v>
      </c>
      <c r="C461" s="19" t="s">
        <v>254</v>
      </c>
      <c r="D461" s="19" t="s">
        <v>261</v>
      </c>
      <c r="E461" s="19" t="s">
        <v>262</v>
      </c>
      <c r="F461" s="19" t="s">
        <v>1423</v>
      </c>
      <c r="G461" s="12">
        <v>43150</v>
      </c>
      <c r="H461" s="12">
        <v>43175</v>
      </c>
      <c r="I461">
        <v>3</v>
      </c>
      <c r="J461" s="12">
        <v>43154</v>
      </c>
      <c r="K461" t="b">
        <v>1</v>
      </c>
      <c r="L461" s="12">
        <v>43153</v>
      </c>
      <c r="M461" t="b">
        <v>1</v>
      </c>
      <c r="N461">
        <v>1</v>
      </c>
      <c r="O461">
        <v>1</v>
      </c>
      <c r="P461" s="19" t="s">
        <v>279</v>
      </c>
      <c r="Q461" s="19" t="s">
        <v>259</v>
      </c>
      <c r="R461" s="19" t="s">
        <v>121</v>
      </c>
      <c r="S461" s="19" t="s">
        <v>129</v>
      </c>
      <c r="T461" s="16">
        <v>41.8</v>
      </c>
      <c r="U461" s="16">
        <v>16.79</v>
      </c>
      <c r="V461" s="16">
        <v>58.59</v>
      </c>
      <c r="W461" s="19" t="s">
        <v>1424</v>
      </c>
      <c r="X461" s="19" t="s">
        <v>265</v>
      </c>
      <c r="Y461" s="12">
        <v>43177</v>
      </c>
      <c r="Z461" s="12">
        <v>43171</v>
      </c>
      <c r="AA461" s="12">
        <v>43177</v>
      </c>
    </row>
    <row r="462" spans="1:27" x14ac:dyDescent="0.25">
      <c r="A462">
        <v>458</v>
      </c>
      <c r="B462" s="19" t="s">
        <v>712</v>
      </c>
      <c r="C462" s="19" t="s">
        <v>254</v>
      </c>
      <c r="D462" s="19" t="s">
        <v>261</v>
      </c>
      <c r="E462" s="19" t="s">
        <v>262</v>
      </c>
      <c r="F462" s="19" t="s">
        <v>1425</v>
      </c>
      <c r="G462" s="12">
        <v>43150</v>
      </c>
      <c r="H462" s="12">
        <v>43175</v>
      </c>
      <c r="I462">
        <v>3</v>
      </c>
      <c r="J462" s="12">
        <v>43154</v>
      </c>
      <c r="K462" t="b">
        <v>1</v>
      </c>
      <c r="L462" s="12">
        <v>43153</v>
      </c>
      <c r="M462" t="b">
        <v>1</v>
      </c>
      <c r="N462">
        <v>1</v>
      </c>
      <c r="O462">
        <v>1</v>
      </c>
      <c r="P462" s="19" t="s">
        <v>308</v>
      </c>
      <c r="Q462" s="19" t="s">
        <v>259</v>
      </c>
      <c r="R462" s="19" t="s">
        <v>121</v>
      </c>
      <c r="S462" s="19" t="s">
        <v>125</v>
      </c>
      <c r="T462" s="16">
        <v>35</v>
      </c>
      <c r="U462" s="16">
        <v>16.11</v>
      </c>
      <c r="V462" s="16">
        <v>51.11</v>
      </c>
      <c r="W462" s="19" t="s">
        <v>1424</v>
      </c>
      <c r="X462" s="19" t="s">
        <v>265</v>
      </c>
      <c r="Y462" s="12">
        <v>43177</v>
      </c>
      <c r="Z462" s="12">
        <v>43171</v>
      </c>
      <c r="AA462" s="12">
        <v>43177</v>
      </c>
    </row>
    <row r="463" spans="1:27" x14ac:dyDescent="0.25">
      <c r="A463">
        <v>459</v>
      </c>
      <c r="B463" s="19" t="s">
        <v>712</v>
      </c>
      <c r="C463" s="19" t="s">
        <v>254</v>
      </c>
      <c r="D463" s="19" t="s">
        <v>255</v>
      </c>
      <c r="E463" s="19" t="s">
        <v>256</v>
      </c>
      <c r="F463" s="19" t="s">
        <v>715</v>
      </c>
      <c r="G463" s="12">
        <v>43150</v>
      </c>
      <c r="H463" s="12">
        <v>43175</v>
      </c>
      <c r="I463">
        <v>3</v>
      </c>
      <c r="J463" s="12">
        <v>43154</v>
      </c>
      <c r="K463" t="b">
        <v>1</v>
      </c>
      <c r="L463" s="12"/>
      <c r="M463" t="b">
        <v>1</v>
      </c>
      <c r="N463">
        <v>1</v>
      </c>
      <c r="O463">
        <v>1</v>
      </c>
      <c r="P463" s="19" t="s">
        <v>716</v>
      </c>
      <c r="Q463" s="19" t="s">
        <v>259</v>
      </c>
      <c r="R463" s="19" t="s">
        <v>138</v>
      </c>
      <c r="S463" s="19" t="s">
        <v>121</v>
      </c>
      <c r="T463" s="16">
        <v>34.99</v>
      </c>
      <c r="U463" s="16">
        <v>14.1</v>
      </c>
      <c r="V463" s="16">
        <v>49.09</v>
      </c>
      <c r="W463" s="19" t="s">
        <v>1426</v>
      </c>
      <c r="X463" s="19" t="s">
        <v>260</v>
      </c>
      <c r="Y463" s="12">
        <v>43177</v>
      </c>
      <c r="Z463" s="12">
        <v>43171</v>
      </c>
      <c r="AA463" s="12">
        <v>43177</v>
      </c>
    </row>
    <row r="464" spans="1:27" x14ac:dyDescent="0.25">
      <c r="A464">
        <v>460</v>
      </c>
      <c r="B464" s="19" t="s">
        <v>712</v>
      </c>
      <c r="C464" s="19" t="s">
        <v>254</v>
      </c>
      <c r="D464" s="19" t="s">
        <v>261</v>
      </c>
      <c r="E464" s="19" t="s">
        <v>262</v>
      </c>
      <c r="F464" s="19" t="s">
        <v>1427</v>
      </c>
      <c r="G464" s="12">
        <v>43148</v>
      </c>
      <c r="H464" s="12">
        <v>43175</v>
      </c>
      <c r="I464">
        <v>3</v>
      </c>
      <c r="J464" s="12">
        <v>43157</v>
      </c>
      <c r="K464" t="b">
        <v>1</v>
      </c>
      <c r="L464" s="12">
        <v>43152</v>
      </c>
      <c r="M464" t="b">
        <v>1</v>
      </c>
      <c r="N464">
        <v>1</v>
      </c>
      <c r="O464">
        <v>1</v>
      </c>
      <c r="P464" s="19" t="s">
        <v>365</v>
      </c>
      <c r="Q464" s="19" t="s">
        <v>259</v>
      </c>
      <c r="R464" s="19" t="s">
        <v>121</v>
      </c>
      <c r="S464" s="19" t="s">
        <v>131</v>
      </c>
      <c r="T464" s="16">
        <v>89.99</v>
      </c>
      <c r="U464" s="16">
        <v>16.39</v>
      </c>
      <c r="V464" s="16">
        <v>106.38</v>
      </c>
      <c r="W464" s="19" t="s">
        <v>1415</v>
      </c>
      <c r="X464" s="19" t="s">
        <v>265</v>
      </c>
      <c r="Y464" s="12">
        <v>43177</v>
      </c>
      <c r="Z464" s="12">
        <v>43171</v>
      </c>
      <c r="AA464" s="12">
        <v>43177</v>
      </c>
    </row>
    <row r="465" spans="1:27" x14ac:dyDescent="0.25">
      <c r="A465">
        <v>461</v>
      </c>
      <c r="B465" s="19" t="s">
        <v>712</v>
      </c>
      <c r="C465" s="19" t="s">
        <v>254</v>
      </c>
      <c r="D465" s="19" t="s">
        <v>261</v>
      </c>
      <c r="E465" s="19" t="s">
        <v>262</v>
      </c>
      <c r="F465" s="19" t="s">
        <v>1428</v>
      </c>
      <c r="G465" s="12">
        <v>43146</v>
      </c>
      <c r="H465" s="12">
        <v>43175</v>
      </c>
      <c r="I465">
        <v>3</v>
      </c>
      <c r="J465" s="12">
        <v>43157</v>
      </c>
      <c r="K465" t="b">
        <v>1</v>
      </c>
      <c r="L465" s="12">
        <v>43153</v>
      </c>
      <c r="M465" t="b">
        <v>1</v>
      </c>
      <c r="N465">
        <v>1</v>
      </c>
      <c r="O465">
        <v>1</v>
      </c>
      <c r="P465" s="19" t="s">
        <v>356</v>
      </c>
      <c r="Q465" s="19" t="s">
        <v>259</v>
      </c>
      <c r="R465" s="19" t="s">
        <v>121</v>
      </c>
      <c r="S465" s="19" t="s">
        <v>138</v>
      </c>
      <c r="T465" s="16">
        <v>89</v>
      </c>
      <c r="U465" s="16">
        <v>17.87</v>
      </c>
      <c r="V465" s="16">
        <v>106.87</v>
      </c>
      <c r="W465" s="19" t="s">
        <v>1424</v>
      </c>
      <c r="X465" s="19" t="s">
        <v>265</v>
      </c>
      <c r="Y465" s="12">
        <v>43177</v>
      </c>
      <c r="Z465" s="12">
        <v>43171</v>
      </c>
      <c r="AA465" s="12">
        <v>43177</v>
      </c>
    </row>
    <row r="466" spans="1:27" x14ac:dyDescent="0.25">
      <c r="A466">
        <v>462</v>
      </c>
      <c r="B466" s="19" t="s">
        <v>712</v>
      </c>
      <c r="C466" s="19" t="s">
        <v>254</v>
      </c>
      <c r="D466" s="19" t="s">
        <v>261</v>
      </c>
      <c r="E466" s="19" t="s">
        <v>262</v>
      </c>
      <c r="F466" s="19" t="s">
        <v>1429</v>
      </c>
      <c r="G466" s="12">
        <v>43151</v>
      </c>
      <c r="H466" s="12">
        <v>43175</v>
      </c>
      <c r="I466">
        <v>3</v>
      </c>
      <c r="J466" s="12">
        <v>43157</v>
      </c>
      <c r="K466" t="b">
        <v>1</v>
      </c>
      <c r="L466" s="12">
        <v>43153</v>
      </c>
      <c r="M466" t="b">
        <v>1</v>
      </c>
      <c r="N466">
        <v>1</v>
      </c>
      <c r="O466">
        <v>1</v>
      </c>
      <c r="P466" s="19" t="s">
        <v>1430</v>
      </c>
      <c r="Q466" s="19" t="s">
        <v>259</v>
      </c>
      <c r="R466" s="19" t="s">
        <v>121</v>
      </c>
      <c r="S466" s="19" t="s">
        <v>135</v>
      </c>
      <c r="T466" s="16">
        <v>49</v>
      </c>
      <c r="U466" s="16">
        <v>17.600000000000001</v>
      </c>
      <c r="V466" s="16">
        <v>66.599999999999994</v>
      </c>
      <c r="W466" s="19" t="s">
        <v>1424</v>
      </c>
      <c r="X466" s="19" t="s">
        <v>265</v>
      </c>
      <c r="Y466" s="12">
        <v>43177</v>
      </c>
      <c r="Z466" s="12">
        <v>43171</v>
      </c>
      <c r="AA466" s="12">
        <v>43177</v>
      </c>
    </row>
    <row r="467" spans="1:27" x14ac:dyDescent="0.25">
      <c r="A467">
        <v>463</v>
      </c>
      <c r="B467" s="19" t="s">
        <v>712</v>
      </c>
      <c r="C467" s="19" t="s">
        <v>254</v>
      </c>
      <c r="D467" s="19" t="s">
        <v>261</v>
      </c>
      <c r="E467" s="19" t="s">
        <v>262</v>
      </c>
      <c r="F467" s="19" t="s">
        <v>1431</v>
      </c>
      <c r="G467" s="12">
        <v>43152</v>
      </c>
      <c r="H467" s="12">
        <v>43175</v>
      </c>
      <c r="I467">
        <v>3</v>
      </c>
      <c r="J467" s="12">
        <v>43158</v>
      </c>
      <c r="K467" t="b">
        <v>1</v>
      </c>
      <c r="L467" s="12">
        <v>43158</v>
      </c>
      <c r="M467" t="b">
        <v>1</v>
      </c>
      <c r="N467">
        <v>1</v>
      </c>
      <c r="O467">
        <v>1</v>
      </c>
      <c r="P467" s="19" t="s">
        <v>593</v>
      </c>
      <c r="Q467" s="19" t="s">
        <v>259</v>
      </c>
      <c r="R467" s="19" t="s">
        <v>121</v>
      </c>
      <c r="S467" s="19" t="s">
        <v>125</v>
      </c>
      <c r="T467" s="16">
        <v>249</v>
      </c>
      <c r="U467" s="16">
        <v>22.23</v>
      </c>
      <c r="V467" s="16">
        <v>271.23</v>
      </c>
      <c r="W467" s="19" t="s">
        <v>1432</v>
      </c>
      <c r="X467" s="19" t="s">
        <v>265</v>
      </c>
      <c r="Y467" s="12">
        <v>43177</v>
      </c>
      <c r="Z467" s="12">
        <v>43171</v>
      </c>
      <c r="AA467" s="12">
        <v>43177</v>
      </c>
    </row>
    <row r="468" spans="1:27" x14ac:dyDescent="0.25">
      <c r="A468">
        <v>464</v>
      </c>
      <c r="B468" s="19" t="s">
        <v>712</v>
      </c>
      <c r="C468" s="19" t="s">
        <v>254</v>
      </c>
      <c r="D468" s="19" t="s">
        <v>261</v>
      </c>
      <c r="E468" s="19" t="s">
        <v>262</v>
      </c>
      <c r="F468" s="19" t="s">
        <v>1433</v>
      </c>
      <c r="G468" s="12">
        <v>43152</v>
      </c>
      <c r="H468" s="12">
        <v>43175</v>
      </c>
      <c r="I468">
        <v>3</v>
      </c>
      <c r="J468" s="12">
        <v>43158</v>
      </c>
      <c r="K468" t="b">
        <v>1</v>
      </c>
      <c r="L468" s="12">
        <v>43153</v>
      </c>
      <c r="M468" t="b">
        <v>1</v>
      </c>
      <c r="N468">
        <v>1</v>
      </c>
      <c r="O468">
        <v>1</v>
      </c>
      <c r="P468" s="19" t="s">
        <v>296</v>
      </c>
      <c r="Q468" s="19" t="s">
        <v>259</v>
      </c>
      <c r="R468" s="19" t="s">
        <v>135</v>
      </c>
      <c r="S468" s="19" t="s">
        <v>122</v>
      </c>
      <c r="T468" s="16">
        <v>119</v>
      </c>
      <c r="U468" s="16">
        <v>20.07</v>
      </c>
      <c r="V468" s="16">
        <v>139.07</v>
      </c>
      <c r="W468" s="19" t="s">
        <v>1424</v>
      </c>
      <c r="X468" s="19" t="s">
        <v>265</v>
      </c>
      <c r="Y468" s="12">
        <v>43177</v>
      </c>
      <c r="Z468" s="12">
        <v>43171</v>
      </c>
      <c r="AA468" s="12">
        <v>43177</v>
      </c>
    </row>
    <row r="469" spans="1:27" x14ac:dyDescent="0.25">
      <c r="A469">
        <v>465</v>
      </c>
      <c r="B469" s="19" t="s">
        <v>712</v>
      </c>
      <c r="C469" s="19" t="s">
        <v>254</v>
      </c>
      <c r="D469" s="19" t="s">
        <v>261</v>
      </c>
      <c r="E469" s="19" t="s">
        <v>262</v>
      </c>
      <c r="F469" s="19" t="s">
        <v>1434</v>
      </c>
      <c r="G469" s="12">
        <v>43152</v>
      </c>
      <c r="H469" s="12">
        <v>43175</v>
      </c>
      <c r="I469">
        <v>3</v>
      </c>
      <c r="J469" s="12">
        <v>43158</v>
      </c>
      <c r="K469" t="b">
        <v>1</v>
      </c>
      <c r="L469" s="12">
        <v>43160</v>
      </c>
      <c r="M469" t="b">
        <v>1</v>
      </c>
      <c r="N469">
        <v>1</v>
      </c>
      <c r="O469">
        <v>1</v>
      </c>
      <c r="P469" s="19" t="s">
        <v>506</v>
      </c>
      <c r="Q469" s="19" t="s">
        <v>259</v>
      </c>
      <c r="R469" s="19" t="s">
        <v>121</v>
      </c>
      <c r="S469" s="19" t="s">
        <v>131</v>
      </c>
      <c r="T469" s="16">
        <v>63.14</v>
      </c>
      <c r="U469" s="16">
        <v>16.2</v>
      </c>
      <c r="V469" s="16">
        <v>79.34</v>
      </c>
      <c r="W469" s="19" t="s">
        <v>1435</v>
      </c>
      <c r="X469" s="19" t="s">
        <v>265</v>
      </c>
      <c r="Y469" s="12">
        <v>43177</v>
      </c>
      <c r="Z469" s="12">
        <v>43171</v>
      </c>
      <c r="AA469" s="12">
        <v>43177</v>
      </c>
    </row>
    <row r="470" spans="1:27" x14ac:dyDescent="0.25">
      <c r="A470">
        <v>466</v>
      </c>
      <c r="B470" s="19" t="s">
        <v>712</v>
      </c>
      <c r="C470" s="19" t="s">
        <v>254</v>
      </c>
      <c r="D470" s="19" t="s">
        <v>261</v>
      </c>
      <c r="E470" s="19" t="s">
        <v>262</v>
      </c>
      <c r="F470" s="19" t="s">
        <v>1436</v>
      </c>
      <c r="G470" s="12">
        <v>43152</v>
      </c>
      <c r="H470" s="12">
        <v>43175</v>
      </c>
      <c r="I470">
        <v>3</v>
      </c>
      <c r="J470" s="12">
        <v>43158</v>
      </c>
      <c r="K470" t="b">
        <v>1</v>
      </c>
      <c r="L470" s="12">
        <v>43160</v>
      </c>
      <c r="M470" t="b">
        <v>1</v>
      </c>
      <c r="N470">
        <v>1</v>
      </c>
      <c r="O470">
        <v>1</v>
      </c>
      <c r="P470" s="19" t="s">
        <v>506</v>
      </c>
      <c r="Q470" s="19" t="s">
        <v>259</v>
      </c>
      <c r="R470" s="19" t="s">
        <v>121</v>
      </c>
      <c r="S470" s="19" t="s">
        <v>131</v>
      </c>
      <c r="T470" s="16">
        <v>63.14</v>
      </c>
      <c r="U470" s="16">
        <v>16.2</v>
      </c>
      <c r="V470" s="16">
        <v>79.34</v>
      </c>
      <c r="W470" s="19" t="s">
        <v>1435</v>
      </c>
      <c r="X470" s="19" t="s">
        <v>265</v>
      </c>
      <c r="Y470" s="12">
        <v>43177</v>
      </c>
      <c r="Z470" s="12">
        <v>43171</v>
      </c>
      <c r="AA470" s="12">
        <v>43177</v>
      </c>
    </row>
    <row r="471" spans="1:27" x14ac:dyDescent="0.25">
      <c r="A471">
        <v>467</v>
      </c>
      <c r="B471" s="19" t="s">
        <v>712</v>
      </c>
      <c r="C471" s="19" t="s">
        <v>254</v>
      </c>
      <c r="D471" s="19" t="s">
        <v>261</v>
      </c>
      <c r="E471" s="19" t="s">
        <v>262</v>
      </c>
      <c r="F471" s="19" t="s">
        <v>1437</v>
      </c>
      <c r="G471" s="12">
        <v>43152</v>
      </c>
      <c r="H471" s="12">
        <v>43175</v>
      </c>
      <c r="I471">
        <v>3</v>
      </c>
      <c r="J471" s="12">
        <v>43158</v>
      </c>
      <c r="K471" t="b">
        <v>1</v>
      </c>
      <c r="L471" s="12">
        <v>43153</v>
      </c>
      <c r="M471" t="b">
        <v>1</v>
      </c>
      <c r="N471">
        <v>1</v>
      </c>
      <c r="O471">
        <v>1</v>
      </c>
      <c r="P471" s="19" t="s">
        <v>495</v>
      </c>
      <c r="Q471" s="19" t="s">
        <v>259</v>
      </c>
      <c r="R471" s="19" t="s">
        <v>121</v>
      </c>
      <c r="S471" s="19" t="s">
        <v>122</v>
      </c>
      <c r="T471" s="16">
        <v>39</v>
      </c>
      <c r="U471" s="16">
        <v>15.1</v>
      </c>
      <c r="V471" s="16">
        <v>54.1</v>
      </c>
      <c r="W471" s="19" t="s">
        <v>1424</v>
      </c>
      <c r="X471" s="19" t="s">
        <v>265</v>
      </c>
      <c r="Y471" s="12">
        <v>43177</v>
      </c>
      <c r="Z471" s="12">
        <v>43171</v>
      </c>
      <c r="AA471" s="12">
        <v>43177</v>
      </c>
    </row>
    <row r="472" spans="1:27" x14ac:dyDescent="0.25">
      <c r="A472">
        <v>468</v>
      </c>
      <c r="B472" s="19" t="s">
        <v>712</v>
      </c>
      <c r="C472" s="19" t="s">
        <v>254</v>
      </c>
      <c r="D472" s="19" t="s">
        <v>261</v>
      </c>
      <c r="E472" s="19" t="s">
        <v>262</v>
      </c>
      <c r="F472" s="19" t="s">
        <v>1438</v>
      </c>
      <c r="G472" s="12">
        <v>43153</v>
      </c>
      <c r="H472" s="12">
        <v>43175</v>
      </c>
      <c r="I472">
        <v>3</v>
      </c>
      <c r="J472" s="12">
        <v>43159</v>
      </c>
      <c r="K472" t="b">
        <v>1</v>
      </c>
      <c r="L472" s="12">
        <v>43164</v>
      </c>
      <c r="M472" t="b">
        <v>1</v>
      </c>
      <c r="N472">
        <v>1</v>
      </c>
      <c r="O472">
        <v>1</v>
      </c>
      <c r="P472" s="19" t="s">
        <v>1439</v>
      </c>
      <c r="Q472" s="19" t="s">
        <v>259</v>
      </c>
      <c r="R472" s="19" t="s">
        <v>125</v>
      </c>
      <c r="S472" s="19" t="s">
        <v>122</v>
      </c>
      <c r="T472" s="16">
        <v>219</v>
      </c>
      <c r="U472" s="16">
        <v>17.97</v>
      </c>
      <c r="V472" s="16">
        <v>236.97</v>
      </c>
      <c r="W472" s="19" t="s">
        <v>1440</v>
      </c>
      <c r="X472" s="19" t="s">
        <v>265</v>
      </c>
      <c r="Y472" s="12">
        <v>43177</v>
      </c>
      <c r="Z472" s="12">
        <v>43171</v>
      </c>
      <c r="AA472" s="12">
        <v>43177</v>
      </c>
    </row>
    <row r="473" spans="1:27" x14ac:dyDescent="0.25">
      <c r="A473">
        <v>469</v>
      </c>
      <c r="B473" s="19" t="s">
        <v>712</v>
      </c>
      <c r="C473" s="19" t="s">
        <v>254</v>
      </c>
      <c r="D473" s="19" t="s">
        <v>261</v>
      </c>
      <c r="E473" s="19" t="s">
        <v>262</v>
      </c>
      <c r="F473" s="19" t="s">
        <v>1441</v>
      </c>
      <c r="G473" s="12">
        <v>43154</v>
      </c>
      <c r="H473" s="12">
        <v>43175</v>
      </c>
      <c r="I473">
        <v>3</v>
      </c>
      <c r="J473" s="12">
        <v>43159</v>
      </c>
      <c r="K473" t="b">
        <v>1</v>
      </c>
      <c r="L473" s="12">
        <v>43158</v>
      </c>
      <c r="M473" t="b">
        <v>1</v>
      </c>
      <c r="N473">
        <v>3</v>
      </c>
      <c r="O473">
        <v>1</v>
      </c>
      <c r="P473" s="19" t="s">
        <v>394</v>
      </c>
      <c r="Q473" s="19" t="s">
        <v>259</v>
      </c>
      <c r="R473" s="19" t="s">
        <v>121</v>
      </c>
      <c r="S473" s="19" t="s">
        <v>131</v>
      </c>
      <c r="T473" s="16">
        <v>216</v>
      </c>
      <c r="U473" s="16">
        <v>50.25</v>
      </c>
      <c r="V473" s="16">
        <v>266.25</v>
      </c>
      <c r="W473" s="19" t="s">
        <v>1432</v>
      </c>
      <c r="X473" s="19" t="s">
        <v>265</v>
      </c>
      <c r="Y473" s="12">
        <v>43177</v>
      </c>
      <c r="Z473" s="12">
        <v>43171</v>
      </c>
      <c r="AA473" s="12">
        <v>43177</v>
      </c>
    </row>
    <row r="474" spans="1:27" x14ac:dyDescent="0.25">
      <c r="A474">
        <v>470</v>
      </c>
      <c r="B474" s="19" t="s">
        <v>712</v>
      </c>
      <c r="C474" s="19" t="s">
        <v>254</v>
      </c>
      <c r="D474" s="19" t="s">
        <v>261</v>
      </c>
      <c r="E474" s="19" t="s">
        <v>262</v>
      </c>
      <c r="F474" s="19" t="s">
        <v>1442</v>
      </c>
      <c r="G474" s="12">
        <v>43153</v>
      </c>
      <c r="H474" s="12">
        <v>43175</v>
      </c>
      <c r="I474">
        <v>3</v>
      </c>
      <c r="J474" s="12">
        <v>43159</v>
      </c>
      <c r="K474" t="b">
        <v>1</v>
      </c>
      <c r="L474" s="12">
        <v>43158</v>
      </c>
      <c r="M474" t="b">
        <v>1</v>
      </c>
      <c r="N474">
        <v>2</v>
      </c>
      <c r="O474">
        <v>1</v>
      </c>
      <c r="P474" s="19" t="s">
        <v>1443</v>
      </c>
      <c r="Q474" s="19" t="s">
        <v>259</v>
      </c>
      <c r="R474" s="19" t="s">
        <v>121</v>
      </c>
      <c r="S474" s="19" t="s">
        <v>127</v>
      </c>
      <c r="T474" s="16">
        <v>116</v>
      </c>
      <c r="U474" s="16">
        <v>33.32</v>
      </c>
      <c r="V474" s="16">
        <v>149.32</v>
      </c>
      <c r="W474" s="19" t="s">
        <v>1432</v>
      </c>
      <c r="X474" s="19" t="s">
        <v>265</v>
      </c>
      <c r="Y474" s="12">
        <v>43177</v>
      </c>
      <c r="Z474" s="12">
        <v>43171</v>
      </c>
      <c r="AA474" s="12">
        <v>43177</v>
      </c>
    </row>
    <row r="475" spans="1:27" x14ac:dyDescent="0.25">
      <c r="A475">
        <v>471</v>
      </c>
      <c r="B475" s="19" t="s">
        <v>712</v>
      </c>
      <c r="C475" s="19" t="s">
        <v>254</v>
      </c>
      <c r="D475" s="19" t="s">
        <v>261</v>
      </c>
      <c r="E475" s="19" t="s">
        <v>262</v>
      </c>
      <c r="F475" s="19" t="s">
        <v>1444</v>
      </c>
      <c r="G475" s="12">
        <v>43153</v>
      </c>
      <c r="H475" s="12">
        <v>43175</v>
      </c>
      <c r="I475">
        <v>3</v>
      </c>
      <c r="J475" s="12">
        <v>43159</v>
      </c>
      <c r="K475" t="b">
        <v>1</v>
      </c>
      <c r="L475" s="12">
        <v>43167</v>
      </c>
      <c r="M475" t="b">
        <v>1</v>
      </c>
      <c r="N475">
        <v>4</v>
      </c>
      <c r="O475">
        <v>1</v>
      </c>
      <c r="P475" s="19" t="s">
        <v>547</v>
      </c>
      <c r="Q475" s="19" t="s">
        <v>259</v>
      </c>
      <c r="R475" s="19" t="s">
        <v>121</v>
      </c>
      <c r="S475" s="19" t="s">
        <v>133</v>
      </c>
      <c r="T475" s="16">
        <v>93.92</v>
      </c>
      <c r="U475" s="16">
        <v>60.4</v>
      </c>
      <c r="V475" s="16">
        <v>154.32</v>
      </c>
      <c r="W475" s="19" t="s">
        <v>1445</v>
      </c>
      <c r="X475" s="19" t="s">
        <v>265</v>
      </c>
      <c r="Y475" s="12">
        <v>43177</v>
      </c>
      <c r="Z475" s="12">
        <v>43171</v>
      </c>
      <c r="AA475" s="12">
        <v>43177</v>
      </c>
    </row>
    <row r="476" spans="1:27" x14ac:dyDescent="0.25">
      <c r="A476">
        <v>472</v>
      </c>
      <c r="B476" s="19" t="s">
        <v>712</v>
      </c>
      <c r="C476" s="19" t="s">
        <v>254</v>
      </c>
      <c r="D476" s="19" t="s">
        <v>261</v>
      </c>
      <c r="E476" s="19" t="s">
        <v>262</v>
      </c>
      <c r="F476" s="19" t="s">
        <v>1446</v>
      </c>
      <c r="G476" s="12">
        <v>43153</v>
      </c>
      <c r="H476" s="12">
        <v>43175</v>
      </c>
      <c r="I476">
        <v>3</v>
      </c>
      <c r="J476" s="12">
        <v>43159</v>
      </c>
      <c r="K476" t="b">
        <v>1</v>
      </c>
      <c r="L476" s="12">
        <v>43157</v>
      </c>
      <c r="M476" t="b">
        <v>1</v>
      </c>
      <c r="N476">
        <v>1</v>
      </c>
      <c r="O476">
        <v>1</v>
      </c>
      <c r="P476" s="19" t="s">
        <v>593</v>
      </c>
      <c r="Q476" s="19" t="s">
        <v>259</v>
      </c>
      <c r="R476" s="19" t="s">
        <v>121</v>
      </c>
      <c r="S476" s="19" t="s">
        <v>122</v>
      </c>
      <c r="T476" s="16">
        <v>69</v>
      </c>
      <c r="U476" s="16">
        <v>17.73</v>
      </c>
      <c r="V476" s="16">
        <v>86.73</v>
      </c>
      <c r="W476" s="19" t="s">
        <v>1447</v>
      </c>
      <c r="X476" s="19" t="s">
        <v>265</v>
      </c>
      <c r="Y476" s="12">
        <v>43177</v>
      </c>
      <c r="Z476" s="12">
        <v>43171</v>
      </c>
      <c r="AA476" s="12">
        <v>43177</v>
      </c>
    </row>
    <row r="477" spans="1:27" x14ac:dyDescent="0.25">
      <c r="A477">
        <v>473</v>
      </c>
      <c r="B477" s="19" t="s">
        <v>712</v>
      </c>
      <c r="C477" s="19" t="s">
        <v>254</v>
      </c>
      <c r="D477" s="19" t="s">
        <v>261</v>
      </c>
      <c r="E477" s="19" t="s">
        <v>262</v>
      </c>
      <c r="F477" s="19" t="s">
        <v>1448</v>
      </c>
      <c r="G477" s="12">
        <v>43151</v>
      </c>
      <c r="H477" s="12">
        <v>43175</v>
      </c>
      <c r="I477">
        <v>3</v>
      </c>
      <c r="J477" s="12">
        <v>43159</v>
      </c>
      <c r="K477" t="b">
        <v>1</v>
      </c>
      <c r="L477" s="12">
        <v>43158</v>
      </c>
      <c r="M477" t="b">
        <v>1</v>
      </c>
      <c r="N477">
        <v>1</v>
      </c>
      <c r="O477">
        <v>1</v>
      </c>
      <c r="P477" s="19" t="s">
        <v>1449</v>
      </c>
      <c r="Q477" s="19" t="s">
        <v>259</v>
      </c>
      <c r="R477" s="19" t="s">
        <v>121</v>
      </c>
      <c r="S477" s="19" t="s">
        <v>125</v>
      </c>
      <c r="T477" s="16">
        <v>57.5</v>
      </c>
      <c r="U477" s="16">
        <v>15.15</v>
      </c>
      <c r="V477" s="16">
        <v>72.650000000000006</v>
      </c>
      <c r="W477" s="19" t="s">
        <v>1432</v>
      </c>
      <c r="X477" s="19" t="s">
        <v>265</v>
      </c>
      <c r="Y477" s="12">
        <v>43177</v>
      </c>
      <c r="Z477" s="12">
        <v>43171</v>
      </c>
      <c r="AA477" s="12">
        <v>43177</v>
      </c>
    </row>
    <row r="478" spans="1:27" x14ac:dyDescent="0.25">
      <c r="A478">
        <v>474</v>
      </c>
      <c r="B478" s="19" t="s">
        <v>712</v>
      </c>
      <c r="C478" s="19" t="s">
        <v>254</v>
      </c>
      <c r="D478" s="19" t="s">
        <v>261</v>
      </c>
      <c r="E478" s="19" t="s">
        <v>262</v>
      </c>
      <c r="F478" s="19" t="s">
        <v>1450</v>
      </c>
      <c r="G478" s="12">
        <v>43152</v>
      </c>
      <c r="H478" s="12">
        <v>43175</v>
      </c>
      <c r="I478">
        <v>3</v>
      </c>
      <c r="J478" s="12">
        <v>43159</v>
      </c>
      <c r="K478" t="b">
        <v>1</v>
      </c>
      <c r="L478" s="12">
        <v>43154</v>
      </c>
      <c r="M478" t="b">
        <v>1</v>
      </c>
      <c r="N478">
        <v>1</v>
      </c>
      <c r="O478">
        <v>1</v>
      </c>
      <c r="P478" s="19" t="s">
        <v>478</v>
      </c>
      <c r="Q478" s="19" t="s">
        <v>259</v>
      </c>
      <c r="R478" s="19" t="s">
        <v>121</v>
      </c>
      <c r="S478" s="19" t="s">
        <v>131</v>
      </c>
      <c r="T478" s="16">
        <v>49.9</v>
      </c>
      <c r="U478" s="16">
        <v>17.600000000000001</v>
      </c>
      <c r="V478" s="16">
        <v>67.5</v>
      </c>
      <c r="W478" s="19" t="s">
        <v>1451</v>
      </c>
      <c r="X478" s="19" t="s">
        <v>265</v>
      </c>
      <c r="Y478" s="12">
        <v>43177</v>
      </c>
      <c r="Z478" s="12">
        <v>43171</v>
      </c>
      <c r="AA478" s="12">
        <v>43177</v>
      </c>
    </row>
    <row r="479" spans="1:27" x14ac:dyDescent="0.25">
      <c r="A479">
        <v>475</v>
      </c>
      <c r="B479" s="19" t="s">
        <v>712</v>
      </c>
      <c r="C479" s="19" t="s">
        <v>254</v>
      </c>
      <c r="D479" s="19" t="s">
        <v>255</v>
      </c>
      <c r="E479" s="19" t="s">
        <v>256</v>
      </c>
      <c r="F479" s="19" t="s">
        <v>717</v>
      </c>
      <c r="G479" s="12">
        <v>43139</v>
      </c>
      <c r="H479" s="12">
        <v>43175</v>
      </c>
      <c r="I479">
        <v>3</v>
      </c>
      <c r="J479" s="12">
        <v>43159</v>
      </c>
      <c r="K479" t="b">
        <v>1</v>
      </c>
      <c r="L479" s="12"/>
      <c r="M479" t="b">
        <v>1</v>
      </c>
      <c r="N479">
        <v>1</v>
      </c>
      <c r="O479">
        <v>1</v>
      </c>
      <c r="P479" s="19" t="s">
        <v>439</v>
      </c>
      <c r="Q479" s="19" t="s">
        <v>259</v>
      </c>
      <c r="R479" s="19" t="s">
        <v>121</v>
      </c>
      <c r="S479" s="19" t="s">
        <v>121</v>
      </c>
      <c r="T479" s="16">
        <v>14.98</v>
      </c>
      <c r="U479" s="16">
        <v>11.85</v>
      </c>
      <c r="V479" s="16">
        <v>26.83</v>
      </c>
      <c r="W479" s="19" t="s">
        <v>1452</v>
      </c>
      <c r="X479" s="19" t="s">
        <v>260</v>
      </c>
      <c r="Y479" s="12">
        <v>43177</v>
      </c>
      <c r="Z479" s="12">
        <v>43171</v>
      </c>
      <c r="AA479" s="12">
        <v>43177</v>
      </c>
    </row>
    <row r="480" spans="1:27" x14ac:dyDescent="0.25">
      <c r="A480">
        <v>476</v>
      </c>
      <c r="B480" s="19" t="s">
        <v>712</v>
      </c>
      <c r="C480" s="19" t="s">
        <v>254</v>
      </c>
      <c r="D480" s="19" t="s">
        <v>261</v>
      </c>
      <c r="E480" s="19" t="s">
        <v>262</v>
      </c>
      <c r="F480" s="19" t="s">
        <v>1453</v>
      </c>
      <c r="G480" s="12">
        <v>43155</v>
      </c>
      <c r="H480" s="12">
        <v>43175</v>
      </c>
      <c r="I480">
        <v>3</v>
      </c>
      <c r="J480" s="12">
        <v>43160</v>
      </c>
      <c r="K480" t="b">
        <v>1</v>
      </c>
      <c r="L480" s="12">
        <v>43158</v>
      </c>
      <c r="M480" t="b">
        <v>1</v>
      </c>
      <c r="N480">
        <v>1</v>
      </c>
      <c r="O480">
        <v>1</v>
      </c>
      <c r="P480" s="19" t="s">
        <v>1454</v>
      </c>
      <c r="Q480" s="19" t="s">
        <v>259</v>
      </c>
      <c r="R480" s="19" t="s">
        <v>121</v>
      </c>
      <c r="S480" s="19" t="s">
        <v>122</v>
      </c>
      <c r="T480" s="16">
        <v>549</v>
      </c>
      <c r="U480" s="16">
        <v>18.600000000000001</v>
      </c>
      <c r="V480" s="16">
        <v>567.6</v>
      </c>
      <c r="W480" s="19" t="s">
        <v>1432</v>
      </c>
      <c r="X480" s="19" t="s">
        <v>265</v>
      </c>
      <c r="Y480" s="12">
        <v>43177</v>
      </c>
      <c r="Z480" s="12">
        <v>43171</v>
      </c>
      <c r="AA480" s="12">
        <v>43177</v>
      </c>
    </row>
    <row r="481" spans="1:27" x14ac:dyDescent="0.25">
      <c r="A481">
        <v>477</v>
      </c>
      <c r="B481" s="19" t="s">
        <v>712</v>
      </c>
      <c r="C481" s="19" t="s">
        <v>254</v>
      </c>
      <c r="D481" s="19" t="s">
        <v>261</v>
      </c>
      <c r="E481" s="19" t="s">
        <v>262</v>
      </c>
      <c r="F481" s="19" t="s">
        <v>718</v>
      </c>
      <c r="G481" s="12">
        <v>43155</v>
      </c>
      <c r="H481" s="12">
        <v>43175</v>
      </c>
      <c r="I481">
        <v>3</v>
      </c>
      <c r="J481" s="12">
        <v>43160</v>
      </c>
      <c r="K481" t="b">
        <v>1</v>
      </c>
      <c r="L481" s="12">
        <v>43172</v>
      </c>
      <c r="M481" t="b">
        <v>1</v>
      </c>
      <c r="N481">
        <v>1</v>
      </c>
      <c r="O481">
        <v>1</v>
      </c>
      <c r="P481" s="19" t="s">
        <v>719</v>
      </c>
      <c r="Q481" s="19" t="s">
        <v>259</v>
      </c>
      <c r="R481" s="19" t="s">
        <v>131</v>
      </c>
      <c r="S481" s="19" t="s">
        <v>122</v>
      </c>
      <c r="T481" s="16">
        <v>419</v>
      </c>
      <c r="U481" s="16">
        <v>61.59</v>
      </c>
      <c r="V481" s="16">
        <v>480.59</v>
      </c>
      <c r="W481" s="19" t="s">
        <v>1455</v>
      </c>
      <c r="X481" s="19" t="s">
        <v>265</v>
      </c>
      <c r="Y481" s="12">
        <v>43177</v>
      </c>
      <c r="Z481" s="12">
        <v>43171</v>
      </c>
      <c r="AA481" s="12">
        <v>43177</v>
      </c>
    </row>
    <row r="482" spans="1:27" x14ac:dyDescent="0.25">
      <c r="A482">
        <v>478</v>
      </c>
      <c r="B482" s="19" t="s">
        <v>712</v>
      </c>
      <c r="C482" s="19" t="s">
        <v>254</v>
      </c>
      <c r="D482" s="19" t="s">
        <v>261</v>
      </c>
      <c r="E482" s="19" t="s">
        <v>262</v>
      </c>
      <c r="F482" s="19" t="s">
        <v>1456</v>
      </c>
      <c r="G482" s="12">
        <v>43155</v>
      </c>
      <c r="H482" s="12">
        <v>43175</v>
      </c>
      <c r="I482">
        <v>3</v>
      </c>
      <c r="J482" s="12">
        <v>43160</v>
      </c>
      <c r="K482" t="b">
        <v>1</v>
      </c>
      <c r="L482" s="12">
        <v>43157</v>
      </c>
      <c r="M482" t="b">
        <v>1</v>
      </c>
      <c r="N482">
        <v>1</v>
      </c>
      <c r="O482">
        <v>1</v>
      </c>
      <c r="P482" s="19" t="s">
        <v>343</v>
      </c>
      <c r="Q482" s="19" t="s">
        <v>259</v>
      </c>
      <c r="R482" s="19" t="s">
        <v>121</v>
      </c>
      <c r="S482" s="19" t="s">
        <v>122</v>
      </c>
      <c r="T482" s="16">
        <v>327.49</v>
      </c>
      <c r="U482" s="16">
        <v>28.61</v>
      </c>
      <c r="V482" s="16">
        <v>356.1</v>
      </c>
      <c r="W482" s="19" t="s">
        <v>1447</v>
      </c>
      <c r="X482" s="19" t="s">
        <v>265</v>
      </c>
      <c r="Y482" s="12">
        <v>43177</v>
      </c>
      <c r="Z482" s="12">
        <v>43171</v>
      </c>
      <c r="AA482" s="12">
        <v>43177</v>
      </c>
    </row>
    <row r="483" spans="1:27" x14ac:dyDescent="0.25">
      <c r="A483">
        <v>479</v>
      </c>
      <c r="B483" s="19" t="s">
        <v>712</v>
      </c>
      <c r="C483" s="19" t="s">
        <v>254</v>
      </c>
      <c r="D483" s="19" t="s">
        <v>261</v>
      </c>
      <c r="E483" s="19" t="s">
        <v>262</v>
      </c>
      <c r="F483" s="19" t="s">
        <v>1457</v>
      </c>
      <c r="G483" s="12">
        <v>43155</v>
      </c>
      <c r="H483" s="12">
        <v>43175</v>
      </c>
      <c r="I483">
        <v>3</v>
      </c>
      <c r="J483" s="12">
        <v>43160</v>
      </c>
      <c r="K483" t="b">
        <v>1</v>
      </c>
      <c r="L483" s="12">
        <v>43158</v>
      </c>
      <c r="M483" t="b">
        <v>1</v>
      </c>
      <c r="N483">
        <v>1</v>
      </c>
      <c r="O483">
        <v>1</v>
      </c>
      <c r="P483" s="19" t="s">
        <v>1458</v>
      </c>
      <c r="Q483" s="19" t="s">
        <v>259</v>
      </c>
      <c r="R483" s="19" t="s">
        <v>121</v>
      </c>
      <c r="S483" s="19" t="s">
        <v>122</v>
      </c>
      <c r="T483" s="16">
        <v>261</v>
      </c>
      <c r="U483" s="16">
        <v>15.58</v>
      </c>
      <c r="V483" s="16">
        <v>276.58</v>
      </c>
      <c r="W483" s="19" t="s">
        <v>1432</v>
      </c>
      <c r="X483" s="19" t="s">
        <v>265</v>
      </c>
      <c r="Y483" s="12">
        <v>43177</v>
      </c>
      <c r="Z483" s="12">
        <v>43171</v>
      </c>
      <c r="AA483" s="12">
        <v>43177</v>
      </c>
    </row>
    <row r="484" spans="1:27" x14ac:dyDescent="0.25">
      <c r="A484">
        <v>480</v>
      </c>
      <c r="B484" s="19" t="s">
        <v>712</v>
      </c>
      <c r="C484" s="19" t="s">
        <v>254</v>
      </c>
      <c r="D484" s="19" t="s">
        <v>261</v>
      </c>
      <c r="E484" s="19" t="s">
        <v>262</v>
      </c>
      <c r="F484" s="19" t="s">
        <v>1459</v>
      </c>
      <c r="G484" s="12">
        <v>43155</v>
      </c>
      <c r="H484" s="12">
        <v>43175</v>
      </c>
      <c r="I484">
        <v>3</v>
      </c>
      <c r="J484" s="12">
        <v>43160</v>
      </c>
      <c r="K484" t="b">
        <v>1</v>
      </c>
      <c r="L484" s="12">
        <v>43158</v>
      </c>
      <c r="M484" t="b">
        <v>1</v>
      </c>
      <c r="N484">
        <v>1</v>
      </c>
      <c r="O484">
        <v>1</v>
      </c>
      <c r="P484" s="19" t="s">
        <v>1277</v>
      </c>
      <c r="Q484" s="19" t="s">
        <v>259</v>
      </c>
      <c r="R484" s="19" t="s">
        <v>121</v>
      </c>
      <c r="S484" s="19" t="s">
        <v>121</v>
      </c>
      <c r="T484" s="16">
        <v>260</v>
      </c>
      <c r="U484" s="16">
        <v>13.32</v>
      </c>
      <c r="V484" s="16">
        <v>273.32</v>
      </c>
      <c r="W484" s="19" t="s">
        <v>1432</v>
      </c>
      <c r="X484" s="19" t="s">
        <v>265</v>
      </c>
      <c r="Y484" s="12">
        <v>43177</v>
      </c>
      <c r="Z484" s="12">
        <v>43171</v>
      </c>
      <c r="AA484" s="12">
        <v>43177</v>
      </c>
    </row>
    <row r="485" spans="1:27" x14ac:dyDescent="0.25">
      <c r="A485">
        <v>481</v>
      </c>
      <c r="B485" s="19" t="s">
        <v>712</v>
      </c>
      <c r="C485" s="19" t="s">
        <v>254</v>
      </c>
      <c r="D485" s="19" t="s">
        <v>261</v>
      </c>
      <c r="E485" s="19" t="s">
        <v>262</v>
      </c>
      <c r="F485" s="19" t="s">
        <v>1460</v>
      </c>
      <c r="G485" s="12">
        <v>43156</v>
      </c>
      <c r="H485" s="12">
        <v>43175</v>
      </c>
      <c r="I485">
        <v>3</v>
      </c>
      <c r="J485" s="12">
        <v>43160</v>
      </c>
      <c r="K485" t="b">
        <v>1</v>
      </c>
      <c r="L485" s="12">
        <v>43158</v>
      </c>
      <c r="M485" t="b">
        <v>1</v>
      </c>
      <c r="N485">
        <v>2</v>
      </c>
      <c r="O485">
        <v>1</v>
      </c>
      <c r="P485" s="19" t="s">
        <v>1283</v>
      </c>
      <c r="Q485" s="19" t="s">
        <v>259</v>
      </c>
      <c r="R485" s="19" t="s">
        <v>121</v>
      </c>
      <c r="S485" s="19" t="s">
        <v>121</v>
      </c>
      <c r="T485" s="16">
        <v>198</v>
      </c>
      <c r="U485" s="16">
        <v>24.38</v>
      </c>
      <c r="V485" s="16">
        <v>222.38</v>
      </c>
      <c r="W485" s="19" t="s">
        <v>1432</v>
      </c>
      <c r="X485" s="19" t="s">
        <v>265</v>
      </c>
      <c r="Y485" s="12">
        <v>43177</v>
      </c>
      <c r="Z485" s="12">
        <v>43171</v>
      </c>
      <c r="AA485" s="12">
        <v>43177</v>
      </c>
    </row>
    <row r="486" spans="1:27" x14ac:dyDescent="0.25">
      <c r="A486">
        <v>482</v>
      </c>
      <c r="B486" s="19" t="s">
        <v>712</v>
      </c>
      <c r="C486" s="19" t="s">
        <v>254</v>
      </c>
      <c r="D486" s="19" t="s">
        <v>261</v>
      </c>
      <c r="E486" s="19" t="s">
        <v>262</v>
      </c>
      <c r="F486" s="19" t="s">
        <v>1461</v>
      </c>
      <c r="G486" s="12">
        <v>43156</v>
      </c>
      <c r="H486" s="12">
        <v>43175</v>
      </c>
      <c r="I486">
        <v>3</v>
      </c>
      <c r="J486" s="12">
        <v>43160</v>
      </c>
      <c r="K486" t="b">
        <v>1</v>
      </c>
      <c r="L486" s="12">
        <v>43158</v>
      </c>
      <c r="M486" t="b">
        <v>1</v>
      </c>
      <c r="N486">
        <v>1</v>
      </c>
      <c r="O486">
        <v>1</v>
      </c>
      <c r="P486" s="19" t="s">
        <v>1462</v>
      </c>
      <c r="Q486" s="19" t="s">
        <v>259</v>
      </c>
      <c r="R486" s="19" t="s">
        <v>121</v>
      </c>
      <c r="S486" s="19" t="s">
        <v>122</v>
      </c>
      <c r="T486" s="16">
        <v>196</v>
      </c>
      <c r="U486" s="16">
        <v>16.13</v>
      </c>
      <c r="V486" s="16">
        <v>212.13</v>
      </c>
      <c r="W486" s="19" t="s">
        <v>1432</v>
      </c>
      <c r="X486" s="19" t="s">
        <v>265</v>
      </c>
      <c r="Y486" s="12">
        <v>43177</v>
      </c>
      <c r="Z486" s="12">
        <v>43171</v>
      </c>
      <c r="AA486" s="12">
        <v>43177</v>
      </c>
    </row>
    <row r="487" spans="1:27" x14ac:dyDescent="0.25">
      <c r="A487">
        <v>483</v>
      </c>
      <c r="B487" s="19" t="s">
        <v>712</v>
      </c>
      <c r="C487" s="19" t="s">
        <v>254</v>
      </c>
      <c r="D487" s="19" t="s">
        <v>261</v>
      </c>
      <c r="E487" s="19" t="s">
        <v>262</v>
      </c>
      <c r="F487" s="19" t="s">
        <v>1463</v>
      </c>
      <c r="G487" s="12">
        <v>43156</v>
      </c>
      <c r="H487" s="12">
        <v>43175</v>
      </c>
      <c r="I487">
        <v>3</v>
      </c>
      <c r="J487" s="12">
        <v>43160</v>
      </c>
      <c r="K487" t="b">
        <v>1</v>
      </c>
      <c r="L487" s="12">
        <v>43158</v>
      </c>
      <c r="M487" t="b">
        <v>1</v>
      </c>
      <c r="N487">
        <v>1</v>
      </c>
      <c r="O487">
        <v>1</v>
      </c>
      <c r="P487" s="19" t="s">
        <v>720</v>
      </c>
      <c r="Q487" s="19" t="s">
        <v>259</v>
      </c>
      <c r="R487" s="19" t="s">
        <v>121</v>
      </c>
      <c r="S487" s="19" t="s">
        <v>122</v>
      </c>
      <c r="T487" s="16">
        <v>149.99</v>
      </c>
      <c r="U487" s="16">
        <v>15.81</v>
      </c>
      <c r="V487" s="16">
        <v>165.8</v>
      </c>
      <c r="W487" s="19" t="s">
        <v>1432</v>
      </c>
      <c r="X487" s="19" t="s">
        <v>265</v>
      </c>
      <c r="Y487" s="12">
        <v>43177</v>
      </c>
      <c r="Z487" s="12">
        <v>43171</v>
      </c>
      <c r="AA487" s="12">
        <v>43177</v>
      </c>
    </row>
    <row r="488" spans="1:27" x14ac:dyDescent="0.25">
      <c r="A488">
        <v>484</v>
      </c>
      <c r="B488" s="19" t="s">
        <v>712</v>
      </c>
      <c r="C488" s="19" t="s">
        <v>254</v>
      </c>
      <c r="D488" s="19" t="s">
        <v>261</v>
      </c>
      <c r="E488" s="19" t="s">
        <v>262</v>
      </c>
      <c r="F488" s="19" t="s">
        <v>1464</v>
      </c>
      <c r="G488" s="12">
        <v>43155</v>
      </c>
      <c r="H488" s="12">
        <v>43175</v>
      </c>
      <c r="I488">
        <v>3</v>
      </c>
      <c r="J488" s="12">
        <v>43160</v>
      </c>
      <c r="K488" t="b">
        <v>1</v>
      </c>
      <c r="L488" s="12">
        <v>43158</v>
      </c>
      <c r="M488" t="b">
        <v>1</v>
      </c>
      <c r="N488">
        <v>1</v>
      </c>
      <c r="O488">
        <v>1</v>
      </c>
      <c r="P488" s="19" t="s">
        <v>720</v>
      </c>
      <c r="Q488" s="19" t="s">
        <v>259</v>
      </c>
      <c r="R488" s="19" t="s">
        <v>121</v>
      </c>
      <c r="S488" s="19" t="s">
        <v>122</v>
      </c>
      <c r="T488" s="16">
        <v>149.99</v>
      </c>
      <c r="U488" s="16">
        <v>15.81</v>
      </c>
      <c r="V488" s="16">
        <v>165.8</v>
      </c>
      <c r="W488" s="19" t="s">
        <v>1432</v>
      </c>
      <c r="X488" s="19" t="s">
        <v>265</v>
      </c>
      <c r="Y488" s="12">
        <v>43177</v>
      </c>
      <c r="Z488" s="12">
        <v>43171</v>
      </c>
      <c r="AA488" s="12">
        <v>43177</v>
      </c>
    </row>
    <row r="489" spans="1:27" x14ac:dyDescent="0.25">
      <c r="A489">
        <v>485</v>
      </c>
      <c r="B489" s="19" t="s">
        <v>712</v>
      </c>
      <c r="C489" s="19" t="s">
        <v>254</v>
      </c>
      <c r="D489" s="19" t="s">
        <v>261</v>
      </c>
      <c r="E489" s="19" t="s">
        <v>262</v>
      </c>
      <c r="F489" s="19" t="s">
        <v>1465</v>
      </c>
      <c r="G489" s="12">
        <v>43154</v>
      </c>
      <c r="H489" s="12">
        <v>43175</v>
      </c>
      <c r="I489">
        <v>3</v>
      </c>
      <c r="J489" s="12">
        <v>43160</v>
      </c>
      <c r="K489" t="b">
        <v>1</v>
      </c>
      <c r="L489" s="12">
        <v>43157</v>
      </c>
      <c r="M489" t="b">
        <v>1</v>
      </c>
      <c r="N489">
        <v>1</v>
      </c>
      <c r="O489">
        <v>1</v>
      </c>
      <c r="P489" s="19" t="s">
        <v>1466</v>
      </c>
      <c r="Q489" s="19" t="s">
        <v>259</v>
      </c>
      <c r="R489" s="19" t="s">
        <v>131</v>
      </c>
      <c r="S489" s="19" t="s">
        <v>122</v>
      </c>
      <c r="T489" s="16">
        <v>123.9</v>
      </c>
      <c r="U489" s="16">
        <v>15.62</v>
      </c>
      <c r="V489" s="16">
        <v>139.52000000000001</v>
      </c>
      <c r="W489" s="19" t="s">
        <v>1447</v>
      </c>
      <c r="X489" s="19" t="s">
        <v>265</v>
      </c>
      <c r="Y489" s="12">
        <v>43177</v>
      </c>
      <c r="Z489" s="12">
        <v>43171</v>
      </c>
      <c r="AA489" s="12">
        <v>43177</v>
      </c>
    </row>
    <row r="490" spans="1:27" x14ac:dyDescent="0.25">
      <c r="A490">
        <v>486</v>
      </c>
      <c r="B490" s="19" t="s">
        <v>712</v>
      </c>
      <c r="C490" s="19" t="s">
        <v>254</v>
      </c>
      <c r="D490" s="19" t="s">
        <v>261</v>
      </c>
      <c r="E490" s="19" t="s">
        <v>262</v>
      </c>
      <c r="F490" s="19" t="s">
        <v>1467</v>
      </c>
      <c r="G490" s="12">
        <v>43154</v>
      </c>
      <c r="H490" s="12">
        <v>43175</v>
      </c>
      <c r="I490">
        <v>3</v>
      </c>
      <c r="J490" s="12">
        <v>43160</v>
      </c>
      <c r="K490" t="b">
        <v>1</v>
      </c>
      <c r="L490" s="12">
        <v>43159</v>
      </c>
      <c r="M490" t="b">
        <v>1</v>
      </c>
      <c r="N490">
        <v>1</v>
      </c>
      <c r="O490">
        <v>1</v>
      </c>
      <c r="P490" s="19" t="s">
        <v>1238</v>
      </c>
      <c r="Q490" s="19" t="s">
        <v>259</v>
      </c>
      <c r="R490" s="19" t="s">
        <v>122</v>
      </c>
      <c r="S490" s="19" t="s">
        <v>121</v>
      </c>
      <c r="T490" s="16">
        <v>119.9</v>
      </c>
      <c r="U490" s="16">
        <v>14.59</v>
      </c>
      <c r="V490" s="16">
        <v>134.49</v>
      </c>
      <c r="W490" s="19" t="s">
        <v>1411</v>
      </c>
      <c r="X490" s="19" t="s">
        <v>265</v>
      </c>
      <c r="Y490" s="12">
        <v>43177</v>
      </c>
      <c r="Z490" s="12">
        <v>43171</v>
      </c>
      <c r="AA490" s="12">
        <v>43177</v>
      </c>
    </row>
    <row r="491" spans="1:27" x14ac:dyDescent="0.25">
      <c r="A491">
        <v>487</v>
      </c>
      <c r="B491" s="19" t="s">
        <v>712</v>
      </c>
      <c r="C491" s="19" t="s">
        <v>254</v>
      </c>
      <c r="D491" s="19" t="s">
        <v>261</v>
      </c>
      <c r="E491" s="19" t="s">
        <v>262</v>
      </c>
      <c r="F491" s="19" t="s">
        <v>1468</v>
      </c>
      <c r="G491" s="12">
        <v>43146</v>
      </c>
      <c r="H491" s="12">
        <v>43175</v>
      </c>
      <c r="I491">
        <v>3</v>
      </c>
      <c r="J491" s="12">
        <v>43160</v>
      </c>
      <c r="K491" t="b">
        <v>1</v>
      </c>
      <c r="L491" s="12">
        <v>43147</v>
      </c>
      <c r="M491" t="b">
        <v>1</v>
      </c>
      <c r="N491">
        <v>1</v>
      </c>
      <c r="O491">
        <v>1</v>
      </c>
      <c r="P491" s="19" t="s">
        <v>1469</v>
      </c>
      <c r="Q491" s="19" t="s">
        <v>259</v>
      </c>
      <c r="R491" s="19" t="s">
        <v>121</v>
      </c>
      <c r="S491" s="19" t="s">
        <v>122</v>
      </c>
      <c r="T491" s="16">
        <v>116.91</v>
      </c>
      <c r="U491" s="16">
        <v>15.57</v>
      </c>
      <c r="V491" s="16">
        <v>132.47999999999999</v>
      </c>
      <c r="W491" s="19" t="s">
        <v>1402</v>
      </c>
      <c r="X491" s="19" t="s">
        <v>265</v>
      </c>
      <c r="Y491" s="12">
        <v>43177</v>
      </c>
      <c r="Z491" s="12">
        <v>43171</v>
      </c>
      <c r="AA491" s="12">
        <v>43177</v>
      </c>
    </row>
    <row r="492" spans="1:27" x14ac:dyDescent="0.25">
      <c r="A492">
        <v>488</v>
      </c>
      <c r="B492" s="19" t="s">
        <v>712</v>
      </c>
      <c r="C492" s="19" t="s">
        <v>254</v>
      </c>
      <c r="D492" s="19" t="s">
        <v>261</v>
      </c>
      <c r="E492" s="19" t="s">
        <v>262</v>
      </c>
      <c r="F492" s="19" t="s">
        <v>1470</v>
      </c>
      <c r="G492" s="12">
        <v>43150</v>
      </c>
      <c r="H492" s="12">
        <v>43175</v>
      </c>
      <c r="I492">
        <v>3</v>
      </c>
      <c r="J492" s="12">
        <v>43160</v>
      </c>
      <c r="K492" t="b">
        <v>1</v>
      </c>
      <c r="L492" s="12">
        <v>43153</v>
      </c>
      <c r="M492" t="b">
        <v>1</v>
      </c>
      <c r="N492">
        <v>1</v>
      </c>
      <c r="O492">
        <v>1</v>
      </c>
      <c r="P492" s="19" t="s">
        <v>621</v>
      </c>
      <c r="Q492" s="19" t="s">
        <v>259</v>
      </c>
      <c r="R492" s="19" t="s">
        <v>121</v>
      </c>
      <c r="S492" s="19" t="s">
        <v>122</v>
      </c>
      <c r="T492" s="16">
        <v>109.9</v>
      </c>
      <c r="U492" s="16">
        <v>21.26</v>
      </c>
      <c r="V492" s="16">
        <v>131.16</v>
      </c>
      <c r="W492" s="19" t="s">
        <v>1424</v>
      </c>
      <c r="X492" s="19" t="s">
        <v>265</v>
      </c>
      <c r="Y492" s="12">
        <v>43177</v>
      </c>
      <c r="Z492" s="12">
        <v>43171</v>
      </c>
      <c r="AA492" s="12">
        <v>43177</v>
      </c>
    </row>
    <row r="493" spans="1:27" x14ac:dyDescent="0.25">
      <c r="A493">
        <v>489</v>
      </c>
      <c r="B493" s="19" t="s">
        <v>712</v>
      </c>
      <c r="C493" s="19" t="s">
        <v>254</v>
      </c>
      <c r="D493" s="19" t="s">
        <v>261</v>
      </c>
      <c r="E493" s="19" t="s">
        <v>262</v>
      </c>
      <c r="F493" s="19" t="s">
        <v>1471</v>
      </c>
      <c r="G493" s="12">
        <v>43152</v>
      </c>
      <c r="H493" s="12">
        <v>43175</v>
      </c>
      <c r="I493">
        <v>3</v>
      </c>
      <c r="J493" s="12">
        <v>43160</v>
      </c>
      <c r="K493" t="b">
        <v>1</v>
      </c>
      <c r="L493" s="12">
        <v>43161</v>
      </c>
      <c r="M493" t="b">
        <v>1</v>
      </c>
      <c r="N493">
        <v>1</v>
      </c>
      <c r="O493">
        <v>1</v>
      </c>
      <c r="P493" s="19" t="s">
        <v>606</v>
      </c>
      <c r="Q493" s="19" t="s">
        <v>259</v>
      </c>
      <c r="R493" s="19" t="s">
        <v>135</v>
      </c>
      <c r="S493" s="19" t="s">
        <v>122</v>
      </c>
      <c r="T493" s="16">
        <v>89.9</v>
      </c>
      <c r="U493" s="16">
        <v>17.07</v>
      </c>
      <c r="V493" s="16">
        <v>106.97</v>
      </c>
      <c r="W493" s="19" t="s">
        <v>1472</v>
      </c>
      <c r="X493" s="19" t="s">
        <v>265</v>
      </c>
      <c r="Y493" s="12">
        <v>43177</v>
      </c>
      <c r="Z493" s="12">
        <v>43171</v>
      </c>
      <c r="AA493" s="12">
        <v>43177</v>
      </c>
    </row>
    <row r="494" spans="1:27" x14ac:dyDescent="0.25">
      <c r="A494">
        <v>490</v>
      </c>
      <c r="B494" s="19" t="s">
        <v>712</v>
      </c>
      <c r="C494" s="19" t="s">
        <v>254</v>
      </c>
      <c r="D494" s="19" t="s">
        <v>261</v>
      </c>
      <c r="E494" s="19" t="s">
        <v>262</v>
      </c>
      <c r="F494" s="19" t="s">
        <v>1473</v>
      </c>
      <c r="G494" s="12">
        <v>43155</v>
      </c>
      <c r="H494" s="12">
        <v>43175</v>
      </c>
      <c r="I494">
        <v>3</v>
      </c>
      <c r="J494" s="12">
        <v>43160</v>
      </c>
      <c r="K494" t="b">
        <v>1</v>
      </c>
      <c r="L494" s="12">
        <v>43157</v>
      </c>
      <c r="M494" t="b">
        <v>1</v>
      </c>
      <c r="N494">
        <v>1</v>
      </c>
      <c r="O494">
        <v>1</v>
      </c>
      <c r="P494" s="19" t="s">
        <v>1474</v>
      </c>
      <c r="Q494" s="19" t="s">
        <v>259</v>
      </c>
      <c r="R494" s="19" t="s">
        <v>121</v>
      </c>
      <c r="S494" s="19" t="s">
        <v>122</v>
      </c>
      <c r="T494" s="16">
        <v>89.9</v>
      </c>
      <c r="U494" s="16">
        <v>14.38</v>
      </c>
      <c r="V494" s="16">
        <v>104.28</v>
      </c>
      <c r="W494" s="19" t="s">
        <v>1447</v>
      </c>
      <c r="X494" s="19" t="s">
        <v>265</v>
      </c>
      <c r="Y494" s="12">
        <v>43177</v>
      </c>
      <c r="Z494" s="12">
        <v>43171</v>
      </c>
      <c r="AA494" s="12">
        <v>43177</v>
      </c>
    </row>
    <row r="495" spans="1:27" x14ac:dyDescent="0.25">
      <c r="A495">
        <v>491</v>
      </c>
      <c r="B495" s="19" t="s">
        <v>712</v>
      </c>
      <c r="C495" s="19" t="s">
        <v>254</v>
      </c>
      <c r="D495" s="19" t="s">
        <v>261</v>
      </c>
      <c r="E495" s="19" t="s">
        <v>262</v>
      </c>
      <c r="F495" s="19" t="s">
        <v>1475</v>
      </c>
      <c r="G495" s="12">
        <v>43152</v>
      </c>
      <c r="H495" s="12">
        <v>43175</v>
      </c>
      <c r="I495">
        <v>3</v>
      </c>
      <c r="J495" s="12">
        <v>43160</v>
      </c>
      <c r="K495" t="b">
        <v>1</v>
      </c>
      <c r="L495" s="12">
        <v>43159</v>
      </c>
      <c r="M495" t="b">
        <v>1</v>
      </c>
      <c r="N495">
        <v>1</v>
      </c>
      <c r="O495">
        <v>1</v>
      </c>
      <c r="P495" s="19" t="s">
        <v>617</v>
      </c>
      <c r="Q495" s="19" t="s">
        <v>259</v>
      </c>
      <c r="R495" s="19" t="s">
        <v>121</v>
      </c>
      <c r="S495" s="19" t="s">
        <v>122</v>
      </c>
      <c r="T495" s="16">
        <v>79.900000000000006</v>
      </c>
      <c r="U495" s="16">
        <v>21.05</v>
      </c>
      <c r="V495" s="16">
        <v>100.95</v>
      </c>
      <c r="W495" s="19" t="s">
        <v>1411</v>
      </c>
      <c r="X495" s="19" t="s">
        <v>265</v>
      </c>
      <c r="Y495" s="12">
        <v>43177</v>
      </c>
      <c r="Z495" s="12">
        <v>43171</v>
      </c>
      <c r="AA495" s="12">
        <v>43177</v>
      </c>
    </row>
    <row r="496" spans="1:27" x14ac:dyDescent="0.25">
      <c r="A496">
        <v>492</v>
      </c>
      <c r="B496" s="19" t="s">
        <v>712</v>
      </c>
      <c r="C496" s="19" t="s">
        <v>254</v>
      </c>
      <c r="D496" s="19" t="s">
        <v>261</v>
      </c>
      <c r="E496" s="19" t="s">
        <v>262</v>
      </c>
      <c r="F496" s="19" t="s">
        <v>1476</v>
      </c>
      <c r="G496" s="12">
        <v>43154</v>
      </c>
      <c r="H496" s="12">
        <v>43175</v>
      </c>
      <c r="I496">
        <v>3</v>
      </c>
      <c r="J496" s="12">
        <v>43160</v>
      </c>
      <c r="K496" t="b">
        <v>1</v>
      </c>
      <c r="L496" s="12">
        <v>43158</v>
      </c>
      <c r="M496" t="b">
        <v>1</v>
      </c>
      <c r="N496">
        <v>1</v>
      </c>
      <c r="O496">
        <v>1</v>
      </c>
      <c r="P496" s="19" t="s">
        <v>478</v>
      </c>
      <c r="Q496" s="19" t="s">
        <v>259</v>
      </c>
      <c r="R496" s="19" t="s">
        <v>121</v>
      </c>
      <c r="S496" s="19" t="s">
        <v>122</v>
      </c>
      <c r="T496" s="16">
        <v>53.9</v>
      </c>
      <c r="U496" s="16">
        <v>17.63</v>
      </c>
      <c r="V496" s="16">
        <v>71.53</v>
      </c>
      <c r="W496" s="19" t="s">
        <v>1432</v>
      </c>
      <c r="X496" s="19" t="s">
        <v>265</v>
      </c>
      <c r="Y496" s="12">
        <v>43177</v>
      </c>
      <c r="Z496" s="12">
        <v>43171</v>
      </c>
      <c r="AA496" s="12">
        <v>43177</v>
      </c>
    </row>
    <row r="497" spans="1:27" x14ac:dyDescent="0.25">
      <c r="A497">
        <v>493</v>
      </c>
      <c r="B497" s="19" t="s">
        <v>712</v>
      </c>
      <c r="C497" s="19" t="s">
        <v>254</v>
      </c>
      <c r="D497" s="19" t="s">
        <v>255</v>
      </c>
      <c r="E497" s="19" t="s">
        <v>256</v>
      </c>
      <c r="F497" s="19" t="s">
        <v>721</v>
      </c>
      <c r="G497" s="12">
        <v>43155</v>
      </c>
      <c r="H497" s="12">
        <v>43175</v>
      </c>
      <c r="I497">
        <v>3</v>
      </c>
      <c r="J497" s="12">
        <v>43160</v>
      </c>
      <c r="K497" t="b">
        <v>1</v>
      </c>
      <c r="L497" s="12"/>
      <c r="M497" t="b">
        <v>1</v>
      </c>
      <c r="N497">
        <v>1</v>
      </c>
      <c r="O497">
        <v>1</v>
      </c>
      <c r="P497" s="19" t="s">
        <v>722</v>
      </c>
      <c r="Q497" s="19" t="s">
        <v>259</v>
      </c>
      <c r="R497" s="19" t="s">
        <v>121</v>
      </c>
      <c r="S497" s="19" t="s">
        <v>122</v>
      </c>
      <c r="T497" s="16">
        <v>53.33</v>
      </c>
      <c r="U497" s="16">
        <v>16.13</v>
      </c>
      <c r="V497" s="16">
        <v>69.459999999999994</v>
      </c>
      <c r="W497" s="19" t="s">
        <v>1477</v>
      </c>
      <c r="X497" s="19" t="s">
        <v>260</v>
      </c>
      <c r="Y497" s="12">
        <v>43177</v>
      </c>
      <c r="Z497" s="12">
        <v>43171</v>
      </c>
      <c r="AA497" s="12">
        <v>43177</v>
      </c>
    </row>
    <row r="498" spans="1:27" x14ac:dyDescent="0.25">
      <c r="A498">
        <v>494</v>
      </c>
      <c r="B498" s="19" t="s">
        <v>712</v>
      </c>
      <c r="C498" s="19" t="s">
        <v>254</v>
      </c>
      <c r="D498" s="19" t="s">
        <v>261</v>
      </c>
      <c r="E498" s="19" t="s">
        <v>262</v>
      </c>
      <c r="F498" s="19" t="s">
        <v>1478</v>
      </c>
      <c r="G498" s="12">
        <v>43155</v>
      </c>
      <c r="H498" s="12">
        <v>43175</v>
      </c>
      <c r="I498">
        <v>3</v>
      </c>
      <c r="J498" s="12">
        <v>43160</v>
      </c>
      <c r="K498" t="b">
        <v>1</v>
      </c>
      <c r="L498" s="12">
        <v>43158</v>
      </c>
      <c r="M498" t="b">
        <v>1</v>
      </c>
      <c r="N498">
        <v>1</v>
      </c>
      <c r="O498">
        <v>1</v>
      </c>
      <c r="P498" s="19" t="s">
        <v>1479</v>
      </c>
      <c r="Q498" s="19" t="s">
        <v>259</v>
      </c>
      <c r="R498" s="19" t="s">
        <v>121</v>
      </c>
      <c r="S498" s="19" t="s">
        <v>121</v>
      </c>
      <c r="T498" s="16">
        <v>50</v>
      </c>
      <c r="U498" s="16">
        <v>11.85</v>
      </c>
      <c r="V498" s="16">
        <v>61.85</v>
      </c>
      <c r="W498" s="19" t="s">
        <v>1432</v>
      </c>
      <c r="X498" s="19" t="s">
        <v>265</v>
      </c>
      <c r="Y498" s="12">
        <v>43177</v>
      </c>
      <c r="Z498" s="12">
        <v>43171</v>
      </c>
      <c r="AA498" s="12">
        <v>43177</v>
      </c>
    </row>
    <row r="499" spans="1:27" x14ac:dyDescent="0.25">
      <c r="A499">
        <v>495</v>
      </c>
      <c r="B499" s="19" t="s">
        <v>712</v>
      </c>
      <c r="C499" s="19" t="s">
        <v>254</v>
      </c>
      <c r="D499" s="19" t="s">
        <v>261</v>
      </c>
      <c r="E499" s="19" t="s">
        <v>262</v>
      </c>
      <c r="F499" s="19" t="s">
        <v>1480</v>
      </c>
      <c r="G499" s="12">
        <v>43155</v>
      </c>
      <c r="H499" s="12">
        <v>43175</v>
      </c>
      <c r="I499">
        <v>3</v>
      </c>
      <c r="J499" s="12">
        <v>43160</v>
      </c>
      <c r="K499" t="b">
        <v>1</v>
      </c>
      <c r="L499" s="12">
        <v>43158</v>
      </c>
      <c r="M499" t="b">
        <v>1</v>
      </c>
      <c r="N499">
        <v>2</v>
      </c>
      <c r="O499">
        <v>1</v>
      </c>
      <c r="P499" s="19" t="s">
        <v>405</v>
      </c>
      <c r="Q499" s="19" t="s">
        <v>259</v>
      </c>
      <c r="R499" s="19" t="s">
        <v>121</v>
      </c>
      <c r="S499" s="19" t="s">
        <v>122</v>
      </c>
      <c r="T499" s="16">
        <v>47.4</v>
      </c>
      <c r="U499" s="16">
        <v>28.2</v>
      </c>
      <c r="V499" s="16">
        <v>75.599999999999994</v>
      </c>
      <c r="W499" s="19" t="s">
        <v>1432</v>
      </c>
      <c r="X499" s="19" t="s">
        <v>265</v>
      </c>
      <c r="Y499" s="12">
        <v>43177</v>
      </c>
      <c r="Z499" s="12">
        <v>43171</v>
      </c>
      <c r="AA499" s="12">
        <v>43177</v>
      </c>
    </row>
    <row r="500" spans="1:27" x14ac:dyDescent="0.25">
      <c r="A500">
        <v>496</v>
      </c>
      <c r="B500" s="19" t="s">
        <v>712</v>
      </c>
      <c r="C500" s="19" t="s">
        <v>254</v>
      </c>
      <c r="D500" s="19" t="s">
        <v>261</v>
      </c>
      <c r="E500" s="19" t="s">
        <v>262</v>
      </c>
      <c r="F500" s="19" t="s">
        <v>1481</v>
      </c>
      <c r="G500" s="12">
        <v>43154</v>
      </c>
      <c r="H500" s="12">
        <v>43175</v>
      </c>
      <c r="I500">
        <v>3</v>
      </c>
      <c r="J500" s="12">
        <v>43160</v>
      </c>
      <c r="K500" t="b">
        <v>1</v>
      </c>
      <c r="L500" s="12">
        <v>43160</v>
      </c>
      <c r="M500" t="b">
        <v>1</v>
      </c>
      <c r="N500">
        <v>1</v>
      </c>
      <c r="O500">
        <v>1</v>
      </c>
      <c r="P500" s="19" t="s">
        <v>598</v>
      </c>
      <c r="Q500" s="19" t="s">
        <v>259</v>
      </c>
      <c r="R500" s="19" t="s">
        <v>121</v>
      </c>
      <c r="S500" s="19" t="s">
        <v>135</v>
      </c>
      <c r="T500" s="16">
        <v>45.9</v>
      </c>
      <c r="U500" s="16">
        <v>14.1</v>
      </c>
      <c r="V500" s="16">
        <v>60</v>
      </c>
      <c r="W500" s="19" t="s">
        <v>1435</v>
      </c>
      <c r="X500" s="19" t="s">
        <v>265</v>
      </c>
      <c r="Y500" s="12">
        <v>43177</v>
      </c>
      <c r="Z500" s="12">
        <v>43171</v>
      </c>
      <c r="AA500" s="12">
        <v>43177</v>
      </c>
    </row>
    <row r="501" spans="1:27" x14ac:dyDescent="0.25">
      <c r="A501">
        <v>497</v>
      </c>
      <c r="B501" s="19" t="s">
        <v>712</v>
      </c>
      <c r="C501" s="19" t="s">
        <v>254</v>
      </c>
      <c r="D501" s="19" t="s">
        <v>261</v>
      </c>
      <c r="E501" s="19" t="s">
        <v>262</v>
      </c>
      <c r="F501" s="19" t="s">
        <v>1482</v>
      </c>
      <c r="G501" s="12">
        <v>43154</v>
      </c>
      <c r="H501" s="12">
        <v>43175</v>
      </c>
      <c r="I501">
        <v>3</v>
      </c>
      <c r="J501" s="12">
        <v>43160</v>
      </c>
      <c r="K501" t="b">
        <v>1</v>
      </c>
      <c r="L501" s="12">
        <v>43158</v>
      </c>
      <c r="M501" t="b">
        <v>1</v>
      </c>
      <c r="N501">
        <v>1</v>
      </c>
      <c r="O501">
        <v>1</v>
      </c>
      <c r="P501" s="19" t="s">
        <v>1483</v>
      </c>
      <c r="Q501" s="19" t="s">
        <v>259</v>
      </c>
      <c r="R501" s="19" t="s">
        <v>122</v>
      </c>
      <c r="S501" s="19" t="s">
        <v>121</v>
      </c>
      <c r="T501" s="16">
        <v>44.7</v>
      </c>
      <c r="U501" s="16">
        <v>49.09</v>
      </c>
      <c r="V501" s="16">
        <v>93.79</v>
      </c>
      <c r="W501" s="19" t="s">
        <v>1432</v>
      </c>
      <c r="X501" s="19" t="s">
        <v>265</v>
      </c>
      <c r="Y501" s="12">
        <v>43177</v>
      </c>
      <c r="Z501" s="12">
        <v>43171</v>
      </c>
      <c r="AA501" s="12">
        <v>43177</v>
      </c>
    </row>
    <row r="502" spans="1:27" x14ac:dyDescent="0.25">
      <c r="A502">
        <v>498</v>
      </c>
      <c r="B502" s="19" t="s">
        <v>712</v>
      </c>
      <c r="C502" s="19" t="s">
        <v>254</v>
      </c>
      <c r="D502" s="19" t="s">
        <v>261</v>
      </c>
      <c r="E502" s="19" t="s">
        <v>262</v>
      </c>
      <c r="F502" s="19" t="s">
        <v>1484</v>
      </c>
      <c r="G502" s="12">
        <v>43156</v>
      </c>
      <c r="H502" s="12">
        <v>43175</v>
      </c>
      <c r="I502">
        <v>3</v>
      </c>
      <c r="J502" s="12">
        <v>43160</v>
      </c>
      <c r="K502" t="b">
        <v>1</v>
      </c>
      <c r="L502" s="12">
        <v>43159</v>
      </c>
      <c r="M502" t="b">
        <v>1</v>
      </c>
      <c r="N502">
        <v>1</v>
      </c>
      <c r="O502">
        <v>1</v>
      </c>
      <c r="P502" s="19" t="s">
        <v>446</v>
      </c>
      <c r="Q502" s="19" t="s">
        <v>259</v>
      </c>
      <c r="R502" s="19" t="s">
        <v>121</v>
      </c>
      <c r="S502" s="19" t="s">
        <v>122</v>
      </c>
      <c r="T502" s="16">
        <v>41.49</v>
      </c>
      <c r="U502" s="16">
        <v>14.1</v>
      </c>
      <c r="V502" s="16">
        <v>55.59</v>
      </c>
      <c r="W502" s="19" t="s">
        <v>1411</v>
      </c>
      <c r="X502" s="19" t="s">
        <v>265</v>
      </c>
      <c r="Y502" s="12">
        <v>43177</v>
      </c>
      <c r="Z502" s="12">
        <v>43171</v>
      </c>
      <c r="AA502" s="12">
        <v>43177</v>
      </c>
    </row>
    <row r="503" spans="1:27" x14ac:dyDescent="0.25">
      <c r="A503">
        <v>499</v>
      </c>
      <c r="B503" s="19" t="s">
        <v>712</v>
      </c>
      <c r="C503" s="19" t="s">
        <v>254</v>
      </c>
      <c r="D503" s="19" t="s">
        <v>261</v>
      </c>
      <c r="E503" s="19" t="s">
        <v>262</v>
      </c>
      <c r="F503" s="19" t="s">
        <v>1485</v>
      </c>
      <c r="G503" s="12">
        <v>43156</v>
      </c>
      <c r="H503" s="12">
        <v>43175</v>
      </c>
      <c r="I503">
        <v>3</v>
      </c>
      <c r="J503" s="12">
        <v>43160</v>
      </c>
      <c r="K503" t="b">
        <v>1</v>
      </c>
      <c r="L503" s="12">
        <v>43158</v>
      </c>
      <c r="M503" t="b">
        <v>1</v>
      </c>
      <c r="N503">
        <v>1</v>
      </c>
      <c r="O503">
        <v>1</v>
      </c>
      <c r="P503" s="19" t="s">
        <v>405</v>
      </c>
      <c r="Q503" s="19" t="s">
        <v>259</v>
      </c>
      <c r="R503" s="19" t="s">
        <v>121</v>
      </c>
      <c r="S503" s="19" t="s">
        <v>122</v>
      </c>
      <c r="T503" s="16">
        <v>23.7</v>
      </c>
      <c r="U503" s="16">
        <v>14.1</v>
      </c>
      <c r="V503" s="16">
        <v>37.799999999999997</v>
      </c>
      <c r="W503" s="19" t="s">
        <v>1432</v>
      </c>
      <c r="X503" s="19" t="s">
        <v>265</v>
      </c>
      <c r="Y503" s="12">
        <v>43177</v>
      </c>
      <c r="Z503" s="12">
        <v>43171</v>
      </c>
      <c r="AA503" s="12">
        <v>43177</v>
      </c>
    </row>
    <row r="504" spans="1:27" x14ac:dyDescent="0.25">
      <c r="A504">
        <v>500</v>
      </c>
      <c r="B504" s="19" t="s">
        <v>712</v>
      </c>
      <c r="C504" s="19" t="s">
        <v>254</v>
      </c>
      <c r="D504" s="19" t="s">
        <v>261</v>
      </c>
      <c r="E504" s="19" t="s">
        <v>262</v>
      </c>
      <c r="F504" s="19" t="s">
        <v>1486</v>
      </c>
      <c r="G504" s="12">
        <v>43156</v>
      </c>
      <c r="H504" s="12">
        <v>43175</v>
      </c>
      <c r="I504">
        <v>3</v>
      </c>
      <c r="J504" s="12">
        <v>43160</v>
      </c>
      <c r="K504" t="b">
        <v>1</v>
      </c>
      <c r="L504" s="12">
        <v>43159</v>
      </c>
      <c r="M504" t="b">
        <v>1</v>
      </c>
      <c r="N504">
        <v>1</v>
      </c>
      <c r="O504">
        <v>1</v>
      </c>
      <c r="P504" s="19" t="s">
        <v>664</v>
      </c>
      <c r="Q504" s="19" t="s">
        <v>259</v>
      </c>
      <c r="R504" s="19" t="s">
        <v>121</v>
      </c>
      <c r="S504" s="19" t="s">
        <v>121</v>
      </c>
      <c r="T504" s="16">
        <v>19.489999999999998</v>
      </c>
      <c r="U504" s="16">
        <v>11.85</v>
      </c>
      <c r="V504" s="16">
        <v>31.34</v>
      </c>
      <c r="W504" s="19" t="s">
        <v>1411</v>
      </c>
      <c r="X504" s="19" t="s">
        <v>265</v>
      </c>
      <c r="Y504" s="12">
        <v>43177</v>
      </c>
      <c r="Z504" s="12">
        <v>43171</v>
      </c>
      <c r="AA504" s="12">
        <v>43177</v>
      </c>
    </row>
    <row r="505" spans="1:27" x14ac:dyDescent="0.25">
      <c r="A505">
        <v>501</v>
      </c>
      <c r="B505" s="19" t="s">
        <v>712</v>
      </c>
      <c r="C505" s="19" t="s">
        <v>254</v>
      </c>
      <c r="D505" s="19" t="s">
        <v>261</v>
      </c>
      <c r="E505" s="19" t="s">
        <v>262</v>
      </c>
      <c r="F505" s="19" t="s">
        <v>1487</v>
      </c>
      <c r="G505" s="12">
        <v>43156</v>
      </c>
      <c r="H505" s="12">
        <v>43175</v>
      </c>
      <c r="I505">
        <v>3</v>
      </c>
      <c r="J505" s="12">
        <v>43160</v>
      </c>
      <c r="K505" t="b">
        <v>1</v>
      </c>
      <c r="L505" s="12">
        <v>43158</v>
      </c>
      <c r="M505" t="b">
        <v>1</v>
      </c>
      <c r="N505">
        <v>1</v>
      </c>
      <c r="O505">
        <v>1</v>
      </c>
      <c r="P505" s="19" t="s">
        <v>405</v>
      </c>
      <c r="Q505" s="19" t="s">
        <v>259</v>
      </c>
      <c r="R505" s="19" t="s">
        <v>121</v>
      </c>
      <c r="S505" s="19" t="s">
        <v>122</v>
      </c>
      <c r="T505" s="16">
        <v>13.65</v>
      </c>
      <c r="U505" s="16">
        <v>14.1</v>
      </c>
      <c r="V505" s="16">
        <v>27.75</v>
      </c>
      <c r="W505" s="19" t="s">
        <v>1432</v>
      </c>
      <c r="X505" s="19" t="s">
        <v>265</v>
      </c>
      <c r="Y505" s="12">
        <v>43177</v>
      </c>
      <c r="Z505" s="12">
        <v>43171</v>
      </c>
      <c r="AA505" s="12">
        <v>43177</v>
      </c>
    </row>
    <row r="506" spans="1:27" x14ac:dyDescent="0.25">
      <c r="A506">
        <v>502</v>
      </c>
      <c r="B506" s="19" t="s">
        <v>712</v>
      </c>
      <c r="C506" s="19" t="s">
        <v>254</v>
      </c>
      <c r="D506" s="19" t="s">
        <v>261</v>
      </c>
      <c r="E506" s="19" t="s">
        <v>262</v>
      </c>
      <c r="F506" s="19" t="s">
        <v>1488</v>
      </c>
      <c r="G506" s="12">
        <v>43156</v>
      </c>
      <c r="H506" s="12">
        <v>43175</v>
      </c>
      <c r="I506">
        <v>3</v>
      </c>
      <c r="J506" s="12">
        <v>43160</v>
      </c>
      <c r="K506" t="b">
        <v>1</v>
      </c>
      <c r="L506" s="12">
        <v>43158</v>
      </c>
      <c r="M506" t="b">
        <v>1</v>
      </c>
      <c r="N506">
        <v>1</v>
      </c>
      <c r="O506">
        <v>1</v>
      </c>
      <c r="P506" s="19" t="s">
        <v>405</v>
      </c>
      <c r="Q506" s="19" t="s">
        <v>259</v>
      </c>
      <c r="R506" s="19" t="s">
        <v>121</v>
      </c>
      <c r="S506" s="19" t="s">
        <v>121</v>
      </c>
      <c r="T506" s="16">
        <v>13.65</v>
      </c>
      <c r="U506" s="16">
        <v>11.85</v>
      </c>
      <c r="V506" s="16">
        <v>25.5</v>
      </c>
      <c r="W506" s="19" t="s">
        <v>1432</v>
      </c>
      <c r="X506" s="19" t="s">
        <v>265</v>
      </c>
      <c r="Y506" s="12">
        <v>43177</v>
      </c>
      <c r="Z506" s="12">
        <v>43171</v>
      </c>
      <c r="AA506" s="12">
        <v>43177</v>
      </c>
    </row>
    <row r="507" spans="1:27" x14ac:dyDescent="0.25">
      <c r="A507">
        <v>503</v>
      </c>
      <c r="B507" s="19" t="s">
        <v>712</v>
      </c>
      <c r="C507" s="19" t="s">
        <v>254</v>
      </c>
      <c r="D507" s="19" t="s">
        <v>261</v>
      </c>
      <c r="E507" s="19" t="s">
        <v>262</v>
      </c>
      <c r="F507" s="19" t="s">
        <v>1489</v>
      </c>
      <c r="G507" s="12">
        <v>43157</v>
      </c>
      <c r="H507" s="12">
        <v>43175</v>
      </c>
      <c r="I507">
        <v>3</v>
      </c>
      <c r="J507" s="12">
        <v>43161</v>
      </c>
      <c r="K507" t="b">
        <v>1</v>
      </c>
      <c r="L507" s="12">
        <v>43159</v>
      </c>
      <c r="M507" t="b">
        <v>1</v>
      </c>
      <c r="N507">
        <v>1</v>
      </c>
      <c r="O507">
        <v>1</v>
      </c>
      <c r="P507" s="19" t="s">
        <v>1490</v>
      </c>
      <c r="Q507" s="19" t="s">
        <v>259</v>
      </c>
      <c r="R507" s="19" t="s">
        <v>121</v>
      </c>
      <c r="S507" s="19" t="s">
        <v>122</v>
      </c>
      <c r="T507" s="16">
        <v>325</v>
      </c>
      <c r="U507" s="16">
        <v>16.02</v>
      </c>
      <c r="V507" s="16">
        <v>341.02</v>
      </c>
      <c r="W507" s="19" t="s">
        <v>1411</v>
      </c>
      <c r="X507" s="19" t="s">
        <v>265</v>
      </c>
      <c r="Y507" s="12">
        <v>43177</v>
      </c>
      <c r="Z507" s="12">
        <v>43171</v>
      </c>
      <c r="AA507" s="12">
        <v>43177</v>
      </c>
    </row>
    <row r="508" spans="1:27" x14ac:dyDescent="0.25">
      <c r="A508">
        <v>504</v>
      </c>
      <c r="B508" s="19" t="s">
        <v>712</v>
      </c>
      <c r="C508" s="19" t="s">
        <v>254</v>
      </c>
      <c r="D508" s="19" t="s">
        <v>261</v>
      </c>
      <c r="E508" s="19" t="s">
        <v>262</v>
      </c>
      <c r="F508" s="19" t="s">
        <v>1491</v>
      </c>
      <c r="G508" s="12">
        <v>43157</v>
      </c>
      <c r="H508" s="12">
        <v>43175</v>
      </c>
      <c r="I508">
        <v>3</v>
      </c>
      <c r="J508" s="12">
        <v>43161</v>
      </c>
      <c r="K508" t="b">
        <v>1</v>
      </c>
      <c r="L508" s="12">
        <v>43158</v>
      </c>
      <c r="M508" t="b">
        <v>1</v>
      </c>
      <c r="N508">
        <v>1</v>
      </c>
      <c r="O508">
        <v>1</v>
      </c>
      <c r="P508" s="19" t="s">
        <v>417</v>
      </c>
      <c r="Q508" s="19" t="s">
        <v>259</v>
      </c>
      <c r="R508" s="19" t="s">
        <v>121</v>
      </c>
      <c r="S508" s="19" t="s">
        <v>121</v>
      </c>
      <c r="T508" s="16">
        <v>150</v>
      </c>
      <c r="U508" s="16">
        <v>12.55</v>
      </c>
      <c r="V508" s="16">
        <v>162.55000000000001</v>
      </c>
      <c r="W508" s="19" t="s">
        <v>1432</v>
      </c>
      <c r="X508" s="19" t="s">
        <v>265</v>
      </c>
      <c r="Y508" s="12">
        <v>43177</v>
      </c>
      <c r="Z508" s="12">
        <v>43171</v>
      </c>
      <c r="AA508" s="12">
        <v>43177</v>
      </c>
    </row>
    <row r="509" spans="1:27" x14ac:dyDescent="0.25">
      <c r="A509">
        <v>505</v>
      </c>
      <c r="B509" s="19" t="s">
        <v>712</v>
      </c>
      <c r="C509" s="19" t="s">
        <v>254</v>
      </c>
      <c r="D509" s="19" t="s">
        <v>261</v>
      </c>
      <c r="E509" s="19" t="s">
        <v>262</v>
      </c>
      <c r="F509" s="19" t="s">
        <v>1492</v>
      </c>
      <c r="G509" s="12">
        <v>43157</v>
      </c>
      <c r="H509" s="12">
        <v>43175</v>
      </c>
      <c r="I509">
        <v>3</v>
      </c>
      <c r="J509" s="12">
        <v>43161</v>
      </c>
      <c r="K509" t="b">
        <v>1</v>
      </c>
      <c r="L509" s="12">
        <v>43158</v>
      </c>
      <c r="M509" t="b">
        <v>1</v>
      </c>
      <c r="N509">
        <v>1</v>
      </c>
      <c r="O509">
        <v>1</v>
      </c>
      <c r="P509" s="19" t="s">
        <v>279</v>
      </c>
      <c r="Q509" s="19" t="s">
        <v>259</v>
      </c>
      <c r="R509" s="19" t="s">
        <v>121</v>
      </c>
      <c r="S509" s="19" t="s">
        <v>121</v>
      </c>
      <c r="T509" s="16">
        <v>86.9</v>
      </c>
      <c r="U509" s="16">
        <v>16.239999999999998</v>
      </c>
      <c r="V509" s="16">
        <v>103.14</v>
      </c>
      <c r="W509" s="19" t="s">
        <v>1432</v>
      </c>
      <c r="X509" s="19" t="s">
        <v>265</v>
      </c>
      <c r="Y509" s="12">
        <v>43177</v>
      </c>
      <c r="Z509" s="12">
        <v>43171</v>
      </c>
      <c r="AA509" s="12">
        <v>43177</v>
      </c>
    </row>
    <row r="510" spans="1:27" x14ac:dyDescent="0.25">
      <c r="A510">
        <v>506</v>
      </c>
      <c r="B510" s="19" t="s">
        <v>712</v>
      </c>
      <c r="C510" s="19" t="s">
        <v>254</v>
      </c>
      <c r="D510" s="19" t="s">
        <v>261</v>
      </c>
      <c r="E510" s="19" t="s">
        <v>262</v>
      </c>
      <c r="F510" s="19" t="s">
        <v>1493</v>
      </c>
      <c r="G510" s="12">
        <v>43157</v>
      </c>
      <c r="H510" s="12">
        <v>43175</v>
      </c>
      <c r="I510">
        <v>3</v>
      </c>
      <c r="J510" s="12">
        <v>43161</v>
      </c>
      <c r="K510" t="b">
        <v>1</v>
      </c>
      <c r="L510" s="12">
        <v>43158</v>
      </c>
      <c r="M510" t="b">
        <v>1</v>
      </c>
      <c r="N510">
        <v>1</v>
      </c>
      <c r="O510">
        <v>1</v>
      </c>
      <c r="P510" s="19" t="s">
        <v>279</v>
      </c>
      <c r="Q510" s="19" t="s">
        <v>259</v>
      </c>
      <c r="R510" s="19" t="s">
        <v>121</v>
      </c>
      <c r="S510" s="19" t="s">
        <v>121</v>
      </c>
      <c r="T510" s="16">
        <v>86.9</v>
      </c>
      <c r="U510" s="16">
        <v>16.239999999999998</v>
      </c>
      <c r="V510" s="16">
        <v>103.14</v>
      </c>
      <c r="W510" s="19" t="s">
        <v>1432</v>
      </c>
      <c r="X510" s="19" t="s">
        <v>265</v>
      </c>
      <c r="Y510" s="12">
        <v>43177</v>
      </c>
      <c r="Z510" s="12">
        <v>43171</v>
      </c>
      <c r="AA510" s="12">
        <v>43177</v>
      </c>
    </row>
    <row r="511" spans="1:27" x14ac:dyDescent="0.25">
      <c r="A511">
        <v>507</v>
      </c>
      <c r="B511" s="19" t="s">
        <v>712</v>
      </c>
      <c r="C511" s="19" t="s">
        <v>254</v>
      </c>
      <c r="D511" s="19" t="s">
        <v>261</v>
      </c>
      <c r="E511" s="19" t="s">
        <v>262</v>
      </c>
      <c r="F511" s="19" t="s">
        <v>1494</v>
      </c>
      <c r="G511" s="12">
        <v>43157</v>
      </c>
      <c r="H511" s="12">
        <v>43175</v>
      </c>
      <c r="I511">
        <v>3</v>
      </c>
      <c r="J511" s="12">
        <v>43161</v>
      </c>
      <c r="K511" t="b">
        <v>1</v>
      </c>
      <c r="L511" s="12">
        <v>43166</v>
      </c>
      <c r="M511" t="b">
        <v>1</v>
      </c>
      <c r="N511">
        <v>1</v>
      </c>
      <c r="O511">
        <v>1</v>
      </c>
      <c r="P511" s="19" t="s">
        <v>680</v>
      </c>
      <c r="Q511" s="19" t="s">
        <v>259</v>
      </c>
      <c r="R511" s="19" t="s">
        <v>121</v>
      </c>
      <c r="S511" s="19" t="s">
        <v>122</v>
      </c>
      <c r="T511" s="16">
        <v>74.89</v>
      </c>
      <c r="U511" s="16">
        <v>16.28</v>
      </c>
      <c r="V511" s="16">
        <v>91.17</v>
      </c>
      <c r="W511" s="19" t="s">
        <v>1495</v>
      </c>
      <c r="X511" s="19" t="s">
        <v>265</v>
      </c>
      <c r="Y511" s="12">
        <v>43177</v>
      </c>
      <c r="Z511" s="12">
        <v>43171</v>
      </c>
      <c r="AA511" s="12">
        <v>43177</v>
      </c>
    </row>
    <row r="512" spans="1:27" x14ac:dyDescent="0.25">
      <c r="A512">
        <v>508</v>
      </c>
      <c r="B512" s="19" t="s">
        <v>712</v>
      </c>
      <c r="C512" s="19" t="s">
        <v>254</v>
      </c>
      <c r="D512" s="19" t="s">
        <v>261</v>
      </c>
      <c r="E512" s="19" t="s">
        <v>262</v>
      </c>
      <c r="F512" s="19" t="s">
        <v>1496</v>
      </c>
      <c r="G512" s="12">
        <v>43157</v>
      </c>
      <c r="H512" s="12">
        <v>43175</v>
      </c>
      <c r="I512">
        <v>3</v>
      </c>
      <c r="J512" s="12">
        <v>43161</v>
      </c>
      <c r="K512" t="b">
        <v>1</v>
      </c>
      <c r="L512" s="12">
        <v>43166</v>
      </c>
      <c r="M512" t="b">
        <v>1</v>
      </c>
      <c r="N512">
        <v>1</v>
      </c>
      <c r="O512">
        <v>1</v>
      </c>
      <c r="P512" s="19" t="s">
        <v>680</v>
      </c>
      <c r="Q512" s="19" t="s">
        <v>259</v>
      </c>
      <c r="R512" s="19" t="s">
        <v>121</v>
      </c>
      <c r="S512" s="19" t="s">
        <v>122</v>
      </c>
      <c r="T512" s="16">
        <v>69.900000000000006</v>
      </c>
      <c r="U512" s="16">
        <v>16.25</v>
      </c>
      <c r="V512" s="16">
        <v>86.15</v>
      </c>
      <c r="W512" s="19" t="s">
        <v>1495</v>
      </c>
      <c r="X512" s="19" t="s">
        <v>265</v>
      </c>
      <c r="Y512" s="12">
        <v>43177</v>
      </c>
      <c r="Z512" s="12">
        <v>43171</v>
      </c>
      <c r="AA512" s="12">
        <v>43177</v>
      </c>
    </row>
    <row r="513" spans="1:27" x14ac:dyDescent="0.25">
      <c r="A513">
        <v>509</v>
      </c>
      <c r="B513" s="19" t="s">
        <v>712</v>
      </c>
      <c r="C513" s="19" t="s">
        <v>254</v>
      </c>
      <c r="D513" s="19" t="s">
        <v>261</v>
      </c>
      <c r="E513" s="19" t="s">
        <v>262</v>
      </c>
      <c r="F513" s="19" t="s">
        <v>1497</v>
      </c>
      <c r="G513" s="12">
        <v>43154</v>
      </c>
      <c r="H513" s="12">
        <v>43175</v>
      </c>
      <c r="I513">
        <v>3</v>
      </c>
      <c r="J513" s="12">
        <v>43161</v>
      </c>
      <c r="K513" t="b">
        <v>1</v>
      </c>
      <c r="L513" s="12">
        <v>43158</v>
      </c>
      <c r="M513" t="b">
        <v>1</v>
      </c>
      <c r="N513">
        <v>1</v>
      </c>
      <c r="O513">
        <v>1</v>
      </c>
      <c r="P513" s="19" t="s">
        <v>308</v>
      </c>
      <c r="Q513" s="19" t="s">
        <v>259</v>
      </c>
      <c r="R513" s="19" t="s">
        <v>121</v>
      </c>
      <c r="S513" s="19" t="s">
        <v>122</v>
      </c>
      <c r="T513" s="16">
        <v>69.900000000000006</v>
      </c>
      <c r="U513" s="16">
        <v>19.98</v>
      </c>
      <c r="V513" s="16">
        <v>89.88</v>
      </c>
      <c r="W513" s="19" t="s">
        <v>1432</v>
      </c>
      <c r="X513" s="19" t="s">
        <v>265</v>
      </c>
      <c r="Y513" s="12">
        <v>43177</v>
      </c>
      <c r="Z513" s="12">
        <v>43171</v>
      </c>
      <c r="AA513" s="12">
        <v>43177</v>
      </c>
    </row>
    <row r="514" spans="1:27" x14ac:dyDescent="0.25">
      <c r="A514">
        <v>510</v>
      </c>
      <c r="B514" s="19" t="s">
        <v>712</v>
      </c>
      <c r="C514" s="19" t="s">
        <v>254</v>
      </c>
      <c r="D514" s="19" t="s">
        <v>261</v>
      </c>
      <c r="E514" s="19" t="s">
        <v>262</v>
      </c>
      <c r="F514" s="19" t="s">
        <v>1498</v>
      </c>
      <c r="G514" s="12">
        <v>43157</v>
      </c>
      <c r="H514" s="12">
        <v>43175</v>
      </c>
      <c r="I514">
        <v>3</v>
      </c>
      <c r="J514" s="12">
        <v>43161</v>
      </c>
      <c r="K514" t="b">
        <v>1</v>
      </c>
      <c r="L514" s="12">
        <v>43158</v>
      </c>
      <c r="M514" t="b">
        <v>1</v>
      </c>
      <c r="N514">
        <v>1</v>
      </c>
      <c r="O514">
        <v>1</v>
      </c>
      <c r="P514" s="19" t="s">
        <v>1499</v>
      </c>
      <c r="Q514" s="19" t="s">
        <v>259</v>
      </c>
      <c r="R514" s="19" t="s">
        <v>121</v>
      </c>
      <c r="S514" s="19" t="s">
        <v>121</v>
      </c>
      <c r="T514" s="16">
        <v>56.99</v>
      </c>
      <c r="U514" s="16">
        <v>13.42</v>
      </c>
      <c r="V514" s="16">
        <v>70.41</v>
      </c>
      <c r="W514" s="19" t="s">
        <v>1432</v>
      </c>
      <c r="X514" s="19" t="s">
        <v>265</v>
      </c>
      <c r="Y514" s="12">
        <v>43177</v>
      </c>
      <c r="Z514" s="12">
        <v>43171</v>
      </c>
      <c r="AA514" s="12">
        <v>43177</v>
      </c>
    </row>
    <row r="515" spans="1:27" x14ac:dyDescent="0.25">
      <c r="A515">
        <v>511</v>
      </c>
      <c r="B515" s="19" t="s">
        <v>712</v>
      </c>
      <c r="C515" s="19" t="s">
        <v>254</v>
      </c>
      <c r="D515" s="19" t="s">
        <v>261</v>
      </c>
      <c r="E515" s="19" t="s">
        <v>262</v>
      </c>
      <c r="F515" s="19" t="s">
        <v>1500</v>
      </c>
      <c r="G515" s="12">
        <v>43157</v>
      </c>
      <c r="H515" s="12">
        <v>43175</v>
      </c>
      <c r="I515">
        <v>3</v>
      </c>
      <c r="J515" s="12">
        <v>43161</v>
      </c>
      <c r="K515" t="b">
        <v>1</v>
      </c>
      <c r="L515" s="12">
        <v>43160</v>
      </c>
      <c r="M515" t="b">
        <v>1</v>
      </c>
      <c r="N515">
        <v>1</v>
      </c>
      <c r="O515">
        <v>1</v>
      </c>
      <c r="P515" s="19" t="s">
        <v>279</v>
      </c>
      <c r="Q515" s="19" t="s">
        <v>259</v>
      </c>
      <c r="R515" s="19" t="s">
        <v>121</v>
      </c>
      <c r="S515" s="19" t="s">
        <v>121</v>
      </c>
      <c r="T515" s="16">
        <v>48.9</v>
      </c>
      <c r="U515" s="16">
        <v>11.85</v>
      </c>
      <c r="V515" s="16">
        <v>60.75</v>
      </c>
      <c r="W515" s="19" t="s">
        <v>1435</v>
      </c>
      <c r="X515" s="19" t="s">
        <v>265</v>
      </c>
      <c r="Y515" s="12">
        <v>43177</v>
      </c>
      <c r="Z515" s="12">
        <v>43171</v>
      </c>
      <c r="AA515" s="12">
        <v>43177</v>
      </c>
    </row>
    <row r="516" spans="1:27" x14ac:dyDescent="0.25">
      <c r="A516">
        <v>512</v>
      </c>
      <c r="B516" s="19" t="s">
        <v>712</v>
      </c>
      <c r="C516" s="19" t="s">
        <v>254</v>
      </c>
      <c r="D516" s="19" t="s">
        <v>261</v>
      </c>
      <c r="E516" s="19" t="s">
        <v>262</v>
      </c>
      <c r="F516" s="19" t="s">
        <v>1501</v>
      </c>
      <c r="G516" s="12">
        <v>43157</v>
      </c>
      <c r="H516" s="12">
        <v>43175</v>
      </c>
      <c r="I516">
        <v>3</v>
      </c>
      <c r="J516" s="12">
        <v>43161</v>
      </c>
      <c r="K516" t="b">
        <v>1</v>
      </c>
      <c r="L516" s="12">
        <v>43161</v>
      </c>
      <c r="M516" t="b">
        <v>1</v>
      </c>
      <c r="N516">
        <v>1</v>
      </c>
      <c r="O516">
        <v>1</v>
      </c>
      <c r="P516" s="19" t="s">
        <v>413</v>
      </c>
      <c r="Q516" s="19" t="s">
        <v>259</v>
      </c>
      <c r="R516" s="19" t="s">
        <v>121</v>
      </c>
      <c r="S516" s="19" t="s">
        <v>121</v>
      </c>
      <c r="T516" s="16">
        <v>17.899999999999999</v>
      </c>
      <c r="U516" s="16">
        <v>11.85</v>
      </c>
      <c r="V516" s="16">
        <v>29.75</v>
      </c>
      <c r="W516" s="19" t="s">
        <v>1472</v>
      </c>
      <c r="X516" s="19" t="s">
        <v>265</v>
      </c>
      <c r="Y516" s="12">
        <v>43177</v>
      </c>
      <c r="Z516" s="12">
        <v>43171</v>
      </c>
      <c r="AA516" s="12">
        <v>43177</v>
      </c>
    </row>
    <row r="517" spans="1:27" x14ac:dyDescent="0.25">
      <c r="A517">
        <v>513</v>
      </c>
      <c r="B517" s="19" t="s">
        <v>712</v>
      </c>
      <c r="C517" s="19" t="s">
        <v>254</v>
      </c>
      <c r="D517" s="19" t="s">
        <v>261</v>
      </c>
      <c r="E517" s="19" t="s">
        <v>262</v>
      </c>
      <c r="F517" s="19" t="s">
        <v>1502</v>
      </c>
      <c r="G517" s="12">
        <v>43157</v>
      </c>
      <c r="H517" s="12">
        <v>43175</v>
      </c>
      <c r="I517">
        <v>3</v>
      </c>
      <c r="J517" s="12">
        <v>43163</v>
      </c>
      <c r="K517" t="b">
        <v>1</v>
      </c>
      <c r="L517" s="12">
        <v>43158</v>
      </c>
      <c r="M517" t="b">
        <v>1</v>
      </c>
      <c r="N517">
        <v>1</v>
      </c>
      <c r="O517">
        <v>1</v>
      </c>
      <c r="P517" s="19" t="s">
        <v>621</v>
      </c>
      <c r="Q517" s="19" t="s">
        <v>259</v>
      </c>
      <c r="R517" s="19" t="s">
        <v>121</v>
      </c>
      <c r="S517" s="19" t="s">
        <v>121</v>
      </c>
      <c r="T517" s="16">
        <v>240</v>
      </c>
      <c r="U517" s="16">
        <v>13.18</v>
      </c>
      <c r="V517" s="16">
        <v>253.18</v>
      </c>
      <c r="W517" s="19" t="s">
        <v>1432</v>
      </c>
      <c r="X517" s="19" t="s">
        <v>265</v>
      </c>
      <c r="Y517" s="12">
        <v>43177</v>
      </c>
      <c r="Z517" s="12">
        <v>43171</v>
      </c>
      <c r="AA517" s="12">
        <v>43177</v>
      </c>
    </row>
    <row r="518" spans="1:27" x14ac:dyDescent="0.25">
      <c r="A518">
        <v>514</v>
      </c>
      <c r="B518" s="19" t="s">
        <v>712</v>
      </c>
      <c r="C518" s="19" t="s">
        <v>254</v>
      </c>
      <c r="D518" s="19" t="s">
        <v>261</v>
      </c>
      <c r="E518" s="19" t="s">
        <v>262</v>
      </c>
      <c r="F518" s="19" t="s">
        <v>1503</v>
      </c>
      <c r="G518" s="12">
        <v>43157</v>
      </c>
      <c r="H518" s="12">
        <v>43175</v>
      </c>
      <c r="I518">
        <v>3</v>
      </c>
      <c r="J518" s="12">
        <v>43164</v>
      </c>
      <c r="K518" t="b">
        <v>1</v>
      </c>
      <c r="L518" s="12">
        <v>43159</v>
      </c>
      <c r="M518" t="b">
        <v>1</v>
      </c>
      <c r="N518">
        <v>1</v>
      </c>
      <c r="O518">
        <v>1</v>
      </c>
      <c r="P518" s="19" t="s">
        <v>700</v>
      </c>
      <c r="Q518" s="19" t="s">
        <v>259</v>
      </c>
      <c r="R518" s="19" t="s">
        <v>121</v>
      </c>
      <c r="S518" s="19" t="s">
        <v>122</v>
      </c>
      <c r="T518" s="16">
        <v>176.99</v>
      </c>
      <c r="U518" s="16">
        <v>23.56</v>
      </c>
      <c r="V518" s="16">
        <v>200.55</v>
      </c>
      <c r="W518" s="19" t="s">
        <v>1411</v>
      </c>
      <c r="X518" s="19" t="s">
        <v>265</v>
      </c>
      <c r="Y518" s="12">
        <v>43177</v>
      </c>
      <c r="Z518" s="12">
        <v>43171</v>
      </c>
      <c r="AA518" s="12">
        <v>43177</v>
      </c>
    </row>
    <row r="519" spans="1:27" x14ac:dyDescent="0.25">
      <c r="A519">
        <v>515</v>
      </c>
      <c r="B519" s="19" t="s">
        <v>712</v>
      </c>
      <c r="C519" s="19" t="s">
        <v>254</v>
      </c>
      <c r="D519" s="19" t="s">
        <v>261</v>
      </c>
      <c r="E519" s="19" t="s">
        <v>262</v>
      </c>
      <c r="F519" s="19" t="s">
        <v>1504</v>
      </c>
      <c r="G519" s="12">
        <v>43155</v>
      </c>
      <c r="H519" s="12">
        <v>43175</v>
      </c>
      <c r="I519">
        <v>3</v>
      </c>
      <c r="J519" s="12">
        <v>43164</v>
      </c>
      <c r="K519" t="b">
        <v>1</v>
      </c>
      <c r="L519" s="12">
        <v>43159</v>
      </c>
      <c r="M519" t="b">
        <v>1</v>
      </c>
      <c r="N519">
        <v>1</v>
      </c>
      <c r="O519">
        <v>1</v>
      </c>
      <c r="P519" s="19" t="s">
        <v>279</v>
      </c>
      <c r="Q519" s="19" t="s">
        <v>259</v>
      </c>
      <c r="R519" s="19" t="s">
        <v>121</v>
      </c>
      <c r="S519" s="19" t="s">
        <v>121</v>
      </c>
      <c r="T519" s="16">
        <v>92</v>
      </c>
      <c r="U519" s="16">
        <v>13.66</v>
      </c>
      <c r="V519" s="16">
        <v>105.66</v>
      </c>
      <c r="W519" s="19" t="s">
        <v>1411</v>
      </c>
      <c r="X519" s="19" t="s">
        <v>265</v>
      </c>
      <c r="Y519" s="12">
        <v>43177</v>
      </c>
      <c r="Z519" s="12">
        <v>43171</v>
      </c>
      <c r="AA519" s="12">
        <v>43177</v>
      </c>
    </row>
    <row r="520" spans="1:27" x14ac:dyDescent="0.25">
      <c r="A520">
        <v>516</v>
      </c>
      <c r="B520" s="19" t="s">
        <v>712</v>
      </c>
      <c r="C520" s="19" t="s">
        <v>254</v>
      </c>
      <c r="D520" s="19" t="s">
        <v>261</v>
      </c>
      <c r="E520" s="19" t="s">
        <v>262</v>
      </c>
      <c r="F520" s="19" t="s">
        <v>1505</v>
      </c>
      <c r="G520" s="12">
        <v>43157</v>
      </c>
      <c r="H520" s="12">
        <v>43175</v>
      </c>
      <c r="I520">
        <v>3</v>
      </c>
      <c r="J520" s="12">
        <v>43164</v>
      </c>
      <c r="K520" t="b">
        <v>1</v>
      </c>
      <c r="L520" s="12">
        <v>43161</v>
      </c>
      <c r="M520" t="b">
        <v>1</v>
      </c>
      <c r="N520">
        <v>1</v>
      </c>
      <c r="O520">
        <v>1</v>
      </c>
      <c r="P520" s="19" t="s">
        <v>1310</v>
      </c>
      <c r="Q520" s="19" t="s">
        <v>259</v>
      </c>
      <c r="R520" s="19" t="s">
        <v>121</v>
      </c>
      <c r="S520" s="19" t="s">
        <v>121</v>
      </c>
      <c r="T520" s="16">
        <v>79.900000000000006</v>
      </c>
      <c r="U520" s="16">
        <v>12.06</v>
      </c>
      <c r="V520" s="16">
        <v>91.96</v>
      </c>
      <c r="W520" s="19" t="s">
        <v>1472</v>
      </c>
      <c r="X520" s="19" t="s">
        <v>265</v>
      </c>
      <c r="Y520" s="12">
        <v>43177</v>
      </c>
      <c r="Z520" s="12">
        <v>43171</v>
      </c>
      <c r="AA520" s="12">
        <v>43177</v>
      </c>
    </row>
    <row r="521" spans="1:27" x14ac:dyDescent="0.25">
      <c r="A521">
        <v>517</v>
      </c>
      <c r="B521" s="19" t="s">
        <v>712</v>
      </c>
      <c r="C521" s="19" t="s">
        <v>254</v>
      </c>
      <c r="D521" s="19" t="s">
        <v>261</v>
      </c>
      <c r="E521" s="19" t="s">
        <v>262</v>
      </c>
      <c r="F521" s="19" t="s">
        <v>1506</v>
      </c>
      <c r="G521" s="12">
        <v>43155</v>
      </c>
      <c r="H521" s="12">
        <v>43175</v>
      </c>
      <c r="I521">
        <v>3</v>
      </c>
      <c r="J521" s="12">
        <v>43164</v>
      </c>
      <c r="K521" t="b">
        <v>1</v>
      </c>
      <c r="L521" s="12">
        <v>43158</v>
      </c>
      <c r="M521" t="b">
        <v>1</v>
      </c>
      <c r="N521">
        <v>1</v>
      </c>
      <c r="O521">
        <v>1</v>
      </c>
      <c r="P521" s="19" t="s">
        <v>1507</v>
      </c>
      <c r="Q521" s="19" t="s">
        <v>259</v>
      </c>
      <c r="R521" s="19" t="s">
        <v>121</v>
      </c>
      <c r="S521" s="19" t="s">
        <v>121</v>
      </c>
      <c r="T521" s="16">
        <v>78</v>
      </c>
      <c r="U521" s="16">
        <v>12.05</v>
      </c>
      <c r="V521" s="16">
        <v>90.05</v>
      </c>
      <c r="W521" s="19" t="s">
        <v>1432</v>
      </c>
      <c r="X521" s="19" t="s">
        <v>265</v>
      </c>
      <c r="Y521" s="12">
        <v>43177</v>
      </c>
      <c r="Z521" s="12">
        <v>43171</v>
      </c>
      <c r="AA521" s="12">
        <v>43177</v>
      </c>
    </row>
    <row r="522" spans="1:27" x14ac:dyDescent="0.25">
      <c r="A522">
        <v>518</v>
      </c>
      <c r="B522" s="19" t="s">
        <v>712</v>
      </c>
      <c r="C522" s="19" t="s">
        <v>254</v>
      </c>
      <c r="D522" s="19" t="s">
        <v>261</v>
      </c>
      <c r="E522" s="19" t="s">
        <v>262</v>
      </c>
      <c r="F522" s="19" t="s">
        <v>1508</v>
      </c>
      <c r="G522" s="12">
        <v>43157</v>
      </c>
      <c r="H522" s="12">
        <v>43175</v>
      </c>
      <c r="I522">
        <v>3</v>
      </c>
      <c r="J522" s="12">
        <v>43164</v>
      </c>
      <c r="K522" t="b">
        <v>1</v>
      </c>
      <c r="L522" s="12">
        <v>43160</v>
      </c>
      <c r="M522" t="b">
        <v>1</v>
      </c>
      <c r="N522">
        <v>1</v>
      </c>
      <c r="O522">
        <v>1</v>
      </c>
      <c r="P522" s="19" t="s">
        <v>1187</v>
      </c>
      <c r="Q522" s="19" t="s">
        <v>259</v>
      </c>
      <c r="R522" s="19" t="s">
        <v>121</v>
      </c>
      <c r="S522" s="19" t="s">
        <v>121</v>
      </c>
      <c r="T522" s="16">
        <v>40.99</v>
      </c>
      <c r="U522" s="16">
        <v>11.85</v>
      </c>
      <c r="V522" s="16">
        <v>52.84</v>
      </c>
      <c r="W522" s="19" t="s">
        <v>1435</v>
      </c>
      <c r="X522" s="19" t="s">
        <v>265</v>
      </c>
      <c r="Y522" s="12">
        <v>43177</v>
      </c>
      <c r="Z522" s="12">
        <v>43171</v>
      </c>
      <c r="AA522" s="12">
        <v>43177</v>
      </c>
    </row>
    <row r="523" spans="1:27" x14ac:dyDescent="0.25">
      <c r="A523">
        <v>519</v>
      </c>
      <c r="B523" s="19" t="s">
        <v>712</v>
      </c>
      <c r="C523" s="19" t="s">
        <v>254</v>
      </c>
      <c r="D523" s="19" t="s">
        <v>261</v>
      </c>
      <c r="E523" s="19" t="s">
        <v>262</v>
      </c>
      <c r="F523" s="19" t="s">
        <v>1509</v>
      </c>
      <c r="G523" s="12">
        <v>43156</v>
      </c>
      <c r="H523" s="12">
        <v>43175</v>
      </c>
      <c r="I523">
        <v>3</v>
      </c>
      <c r="J523" s="12">
        <v>43164</v>
      </c>
      <c r="K523" t="b">
        <v>1</v>
      </c>
      <c r="L523" s="12">
        <v>43160</v>
      </c>
      <c r="M523" t="b">
        <v>1</v>
      </c>
      <c r="N523">
        <v>1</v>
      </c>
      <c r="O523">
        <v>1</v>
      </c>
      <c r="P523" s="19" t="s">
        <v>1184</v>
      </c>
      <c r="Q523" s="19" t="s">
        <v>259</v>
      </c>
      <c r="R523" s="19" t="s">
        <v>121</v>
      </c>
      <c r="S523" s="19" t="s">
        <v>122</v>
      </c>
      <c r="T523" s="16">
        <v>34.99</v>
      </c>
      <c r="U523" s="16">
        <v>14.1</v>
      </c>
      <c r="V523" s="16">
        <v>49.09</v>
      </c>
      <c r="W523" s="19" t="s">
        <v>1435</v>
      </c>
      <c r="X523" s="19" t="s">
        <v>265</v>
      </c>
      <c r="Y523" s="12">
        <v>43177</v>
      </c>
      <c r="Z523" s="12">
        <v>43171</v>
      </c>
      <c r="AA523" s="12">
        <v>43177</v>
      </c>
    </row>
    <row r="524" spans="1:27" x14ac:dyDescent="0.25">
      <c r="A524">
        <v>520</v>
      </c>
      <c r="B524" s="19" t="s">
        <v>712</v>
      </c>
      <c r="C524" s="19" t="s">
        <v>254</v>
      </c>
      <c r="D524" s="19" t="s">
        <v>261</v>
      </c>
      <c r="E524" s="19" t="s">
        <v>262</v>
      </c>
      <c r="F524" s="19" t="s">
        <v>1510</v>
      </c>
      <c r="G524" s="12">
        <v>43157</v>
      </c>
      <c r="H524" s="12">
        <v>43175</v>
      </c>
      <c r="I524">
        <v>3</v>
      </c>
      <c r="J524" s="12">
        <v>43164</v>
      </c>
      <c r="K524" t="b">
        <v>1</v>
      </c>
      <c r="L524" s="12">
        <v>43159</v>
      </c>
      <c r="M524" t="b">
        <v>1</v>
      </c>
      <c r="N524">
        <v>1</v>
      </c>
      <c r="O524">
        <v>1</v>
      </c>
      <c r="P524" s="19" t="s">
        <v>632</v>
      </c>
      <c r="Q524" s="19" t="s">
        <v>259</v>
      </c>
      <c r="R524" s="19" t="s">
        <v>121</v>
      </c>
      <c r="S524" s="19" t="s">
        <v>122</v>
      </c>
      <c r="T524" s="16">
        <v>34.9</v>
      </c>
      <c r="U524" s="16">
        <v>15.11</v>
      </c>
      <c r="V524" s="16">
        <v>50.01</v>
      </c>
      <c r="W524" s="19" t="s">
        <v>1411</v>
      </c>
      <c r="X524" s="19" t="s">
        <v>265</v>
      </c>
      <c r="Y524" s="12">
        <v>43177</v>
      </c>
      <c r="Z524" s="12">
        <v>43171</v>
      </c>
      <c r="AA524" s="12">
        <v>43177</v>
      </c>
    </row>
    <row r="525" spans="1:27" x14ac:dyDescent="0.25">
      <c r="A525">
        <v>521</v>
      </c>
      <c r="B525" s="19" t="s">
        <v>712</v>
      </c>
      <c r="C525" s="19" t="s">
        <v>254</v>
      </c>
      <c r="D525" s="19" t="s">
        <v>255</v>
      </c>
      <c r="E525" s="19" t="s">
        <v>256</v>
      </c>
      <c r="F525" s="19" t="s">
        <v>723</v>
      </c>
      <c r="G525" s="12">
        <v>43145</v>
      </c>
      <c r="H525" s="12">
        <v>43175</v>
      </c>
      <c r="I525">
        <v>3</v>
      </c>
      <c r="J525" s="12">
        <v>43165</v>
      </c>
      <c r="K525" t="b">
        <v>1</v>
      </c>
      <c r="L525" s="12"/>
      <c r="M525" t="b">
        <v>1</v>
      </c>
      <c r="N525">
        <v>2</v>
      </c>
      <c r="O525">
        <v>1</v>
      </c>
      <c r="P525" s="19" t="s">
        <v>724</v>
      </c>
      <c r="Q525" s="19" t="s">
        <v>259</v>
      </c>
      <c r="R525" s="19" t="s">
        <v>121</v>
      </c>
      <c r="S525" s="19" t="s">
        <v>121</v>
      </c>
      <c r="T525" s="16">
        <v>89.8</v>
      </c>
      <c r="U525" s="16">
        <v>23.46</v>
      </c>
      <c r="V525" s="16">
        <v>113.26</v>
      </c>
      <c r="W525" s="19" t="s">
        <v>1511</v>
      </c>
      <c r="X525" s="19" t="s">
        <v>260</v>
      </c>
      <c r="Y525" s="12">
        <v>43177</v>
      </c>
      <c r="Z525" s="12">
        <v>43171</v>
      </c>
      <c r="AA525" s="12">
        <v>43177</v>
      </c>
    </row>
    <row r="526" spans="1:27" x14ac:dyDescent="0.25">
      <c r="A526">
        <v>522</v>
      </c>
      <c r="B526" s="19" t="s">
        <v>712</v>
      </c>
      <c r="C526" s="19" t="s">
        <v>254</v>
      </c>
      <c r="D526" s="19" t="s">
        <v>261</v>
      </c>
      <c r="E526" s="19" t="s">
        <v>262</v>
      </c>
      <c r="F526" s="19" t="s">
        <v>1512</v>
      </c>
      <c r="G526" s="12">
        <v>43157</v>
      </c>
      <c r="H526" s="12">
        <v>43175</v>
      </c>
      <c r="I526">
        <v>3</v>
      </c>
      <c r="J526" s="12">
        <v>43165</v>
      </c>
      <c r="K526" t="b">
        <v>1</v>
      </c>
      <c r="L526" s="12">
        <v>43160</v>
      </c>
      <c r="M526" t="b">
        <v>1</v>
      </c>
      <c r="N526">
        <v>1</v>
      </c>
      <c r="O526">
        <v>1</v>
      </c>
      <c r="P526" s="19" t="s">
        <v>279</v>
      </c>
      <c r="Q526" s="19" t="s">
        <v>259</v>
      </c>
      <c r="R526" s="19" t="s">
        <v>121</v>
      </c>
      <c r="S526" s="19" t="s">
        <v>121</v>
      </c>
      <c r="T526" s="16">
        <v>86.9</v>
      </c>
      <c r="U526" s="16">
        <v>16.239999999999998</v>
      </c>
      <c r="V526" s="16">
        <v>103.14</v>
      </c>
      <c r="W526" s="19" t="s">
        <v>1435</v>
      </c>
      <c r="X526" s="19" t="s">
        <v>265</v>
      </c>
      <c r="Y526" s="12">
        <v>43177</v>
      </c>
      <c r="Z526" s="12">
        <v>43171</v>
      </c>
      <c r="AA526" s="12">
        <v>43177</v>
      </c>
    </row>
    <row r="527" spans="1:27" x14ac:dyDescent="0.25">
      <c r="A527">
        <v>523</v>
      </c>
      <c r="B527" s="19" t="s">
        <v>712</v>
      </c>
      <c r="C527" s="19" t="s">
        <v>254</v>
      </c>
      <c r="D527" s="19" t="s">
        <v>261</v>
      </c>
      <c r="E527" s="19" t="s">
        <v>262</v>
      </c>
      <c r="F527" s="19" t="s">
        <v>1513</v>
      </c>
      <c r="G527" s="12">
        <v>43157</v>
      </c>
      <c r="H527" s="12">
        <v>43175</v>
      </c>
      <c r="I527">
        <v>3</v>
      </c>
      <c r="J527" s="12">
        <v>43165</v>
      </c>
      <c r="K527" t="b">
        <v>1</v>
      </c>
      <c r="L527" s="12">
        <v>43159</v>
      </c>
      <c r="M527" t="b">
        <v>1</v>
      </c>
      <c r="N527">
        <v>1</v>
      </c>
      <c r="O527">
        <v>1</v>
      </c>
      <c r="P527" s="19" t="s">
        <v>1514</v>
      </c>
      <c r="Q527" s="19" t="s">
        <v>259</v>
      </c>
      <c r="R527" s="19" t="s">
        <v>121</v>
      </c>
      <c r="S527" s="19" t="s">
        <v>121</v>
      </c>
      <c r="T527" s="16">
        <v>83.41</v>
      </c>
      <c r="U527" s="16">
        <v>13.6</v>
      </c>
      <c r="V527" s="16">
        <v>97.01</v>
      </c>
      <c r="W527" s="19" t="s">
        <v>1411</v>
      </c>
      <c r="X527" s="19" t="s">
        <v>265</v>
      </c>
      <c r="Y527" s="12">
        <v>43177</v>
      </c>
      <c r="Z527" s="12">
        <v>43171</v>
      </c>
      <c r="AA527" s="12">
        <v>43177</v>
      </c>
    </row>
    <row r="528" spans="1:27" x14ac:dyDescent="0.25">
      <c r="A528">
        <v>524</v>
      </c>
      <c r="B528" s="19" t="s">
        <v>712</v>
      </c>
      <c r="C528" s="19" t="s">
        <v>254</v>
      </c>
      <c r="D528" s="19" t="s">
        <v>261</v>
      </c>
      <c r="E528" s="19" t="s">
        <v>262</v>
      </c>
      <c r="F528" s="19" t="s">
        <v>1515</v>
      </c>
      <c r="G528" s="12">
        <v>43157</v>
      </c>
      <c r="H528" s="12">
        <v>43175</v>
      </c>
      <c r="I528">
        <v>3</v>
      </c>
      <c r="J528" s="12">
        <v>43165</v>
      </c>
      <c r="K528" t="b">
        <v>1</v>
      </c>
      <c r="L528" s="12">
        <v>43160</v>
      </c>
      <c r="M528" t="b">
        <v>1</v>
      </c>
      <c r="N528">
        <v>1</v>
      </c>
      <c r="O528">
        <v>1</v>
      </c>
      <c r="P528" s="19" t="s">
        <v>279</v>
      </c>
      <c r="Q528" s="19" t="s">
        <v>259</v>
      </c>
      <c r="R528" s="19" t="s">
        <v>121</v>
      </c>
      <c r="S528" s="19" t="s">
        <v>121</v>
      </c>
      <c r="T528" s="16">
        <v>48.9</v>
      </c>
      <c r="U528" s="16">
        <v>12.69</v>
      </c>
      <c r="V528" s="16">
        <v>61.59</v>
      </c>
      <c r="W528" s="19" t="s">
        <v>1435</v>
      </c>
      <c r="X528" s="19" t="s">
        <v>265</v>
      </c>
      <c r="Y528" s="12">
        <v>43177</v>
      </c>
      <c r="Z528" s="12">
        <v>43171</v>
      </c>
      <c r="AA528" s="12">
        <v>43177</v>
      </c>
    </row>
    <row r="529" spans="1:27" x14ac:dyDescent="0.25">
      <c r="A529">
        <v>525</v>
      </c>
      <c r="B529" s="19" t="s">
        <v>712</v>
      </c>
      <c r="C529" s="19" t="s">
        <v>254</v>
      </c>
      <c r="D529" s="19" t="s">
        <v>261</v>
      </c>
      <c r="E529" s="19" t="s">
        <v>262</v>
      </c>
      <c r="F529" s="19" t="s">
        <v>1516</v>
      </c>
      <c r="G529" s="12">
        <v>43157</v>
      </c>
      <c r="H529" s="12">
        <v>43175</v>
      </c>
      <c r="I529">
        <v>3</v>
      </c>
      <c r="J529" s="12">
        <v>43165</v>
      </c>
      <c r="K529" t="b">
        <v>1</v>
      </c>
      <c r="L529" s="12">
        <v>43164</v>
      </c>
      <c r="M529" t="b">
        <v>1</v>
      </c>
      <c r="N529">
        <v>1</v>
      </c>
      <c r="O529">
        <v>1</v>
      </c>
      <c r="P529" s="19" t="s">
        <v>598</v>
      </c>
      <c r="Q529" s="19" t="s">
        <v>259</v>
      </c>
      <c r="R529" s="19" t="s">
        <v>121</v>
      </c>
      <c r="S529" s="19" t="s">
        <v>122</v>
      </c>
      <c r="T529" s="16">
        <v>45.9</v>
      </c>
      <c r="U529" s="16">
        <v>14.1</v>
      </c>
      <c r="V529" s="16">
        <v>60</v>
      </c>
      <c r="W529" s="19" t="s">
        <v>1440</v>
      </c>
      <c r="X529" s="19" t="s">
        <v>265</v>
      </c>
      <c r="Y529" s="12">
        <v>43177</v>
      </c>
      <c r="Z529" s="12">
        <v>43171</v>
      </c>
      <c r="AA529" s="12">
        <v>43177</v>
      </c>
    </row>
    <row r="530" spans="1:27" x14ac:dyDescent="0.25">
      <c r="A530">
        <v>526</v>
      </c>
      <c r="B530" s="19" t="s">
        <v>712</v>
      </c>
      <c r="C530" s="19" t="s">
        <v>254</v>
      </c>
      <c r="D530" s="19" t="s">
        <v>261</v>
      </c>
      <c r="E530" s="19" t="s">
        <v>262</v>
      </c>
      <c r="F530" s="19" t="s">
        <v>1517</v>
      </c>
      <c r="G530" s="12">
        <v>43165</v>
      </c>
      <c r="H530" s="12">
        <v>43175</v>
      </c>
      <c r="I530">
        <v>3</v>
      </c>
      <c r="J530" s="12">
        <v>43171</v>
      </c>
      <c r="K530" t="b">
        <v>1</v>
      </c>
      <c r="L530" s="12">
        <v>43169</v>
      </c>
      <c r="M530" t="b">
        <v>1</v>
      </c>
      <c r="N530">
        <v>1</v>
      </c>
      <c r="O530">
        <v>1</v>
      </c>
      <c r="P530" s="19" t="s">
        <v>545</v>
      </c>
      <c r="Q530" s="19" t="s">
        <v>259</v>
      </c>
      <c r="R530" s="19" t="s">
        <v>121</v>
      </c>
      <c r="S530" s="19" t="s">
        <v>121</v>
      </c>
      <c r="T530" s="16">
        <v>27.3</v>
      </c>
      <c r="U530" s="16">
        <v>8.76</v>
      </c>
      <c r="V530" s="16">
        <v>36.06</v>
      </c>
      <c r="W530" s="19" t="s">
        <v>1518</v>
      </c>
      <c r="X530" s="19" t="s">
        <v>265</v>
      </c>
      <c r="Y530" s="12">
        <v>43177</v>
      </c>
      <c r="Z530" s="12">
        <v>43171</v>
      </c>
      <c r="AA530" s="12">
        <v>43177</v>
      </c>
    </row>
    <row r="531" spans="1:27" x14ac:dyDescent="0.25">
      <c r="A531">
        <v>527</v>
      </c>
      <c r="B531" s="19" t="s">
        <v>712</v>
      </c>
      <c r="C531" s="19" t="s">
        <v>254</v>
      </c>
      <c r="D531" s="19" t="s">
        <v>261</v>
      </c>
      <c r="E531" s="19" t="s">
        <v>262</v>
      </c>
      <c r="F531" s="19" t="s">
        <v>1519</v>
      </c>
      <c r="G531" s="12">
        <v>43165</v>
      </c>
      <c r="H531" s="12">
        <v>43175</v>
      </c>
      <c r="I531">
        <v>3</v>
      </c>
      <c r="J531" s="12">
        <v>43172</v>
      </c>
      <c r="K531" t="b">
        <v>1</v>
      </c>
      <c r="L531" s="12">
        <v>43168</v>
      </c>
      <c r="M531" t="b">
        <v>1</v>
      </c>
      <c r="N531">
        <v>1</v>
      </c>
      <c r="O531">
        <v>1</v>
      </c>
      <c r="P531" s="19" t="s">
        <v>1291</v>
      </c>
      <c r="Q531" s="19" t="s">
        <v>259</v>
      </c>
      <c r="R531" s="19" t="s">
        <v>121</v>
      </c>
      <c r="S531" s="19" t="s">
        <v>121</v>
      </c>
      <c r="T531" s="16">
        <v>123.88</v>
      </c>
      <c r="U531" s="16">
        <v>13.01</v>
      </c>
      <c r="V531" s="16">
        <v>136.88999999999999</v>
      </c>
      <c r="W531" s="19" t="s">
        <v>1520</v>
      </c>
      <c r="X531" s="19" t="s">
        <v>265</v>
      </c>
      <c r="Y531" s="12">
        <v>43177</v>
      </c>
      <c r="Z531" s="12">
        <v>43171</v>
      </c>
      <c r="AA531" s="12">
        <v>43177</v>
      </c>
    </row>
    <row r="532" spans="1:27" x14ac:dyDescent="0.25">
      <c r="A532">
        <v>528</v>
      </c>
      <c r="B532" s="19" t="s">
        <v>712</v>
      </c>
      <c r="C532" s="19" t="s">
        <v>254</v>
      </c>
      <c r="D532" s="19" t="s">
        <v>255</v>
      </c>
      <c r="E532" s="19" t="s">
        <v>256</v>
      </c>
      <c r="F532" s="19" t="s">
        <v>1521</v>
      </c>
      <c r="G532" s="12">
        <v>43157</v>
      </c>
      <c r="H532" s="12">
        <v>43175</v>
      </c>
      <c r="I532">
        <v>3</v>
      </c>
      <c r="J532" s="12"/>
      <c r="K532" t="b">
        <v>1</v>
      </c>
      <c r="L532" s="12"/>
      <c r="M532" t="b">
        <v>1</v>
      </c>
      <c r="N532">
        <v>0</v>
      </c>
      <c r="O532">
        <v>0</v>
      </c>
      <c r="P532" s="19" t="s">
        <v>172</v>
      </c>
      <c r="Q532" s="19" t="s">
        <v>285</v>
      </c>
      <c r="R532" s="19" t="s">
        <v>172</v>
      </c>
      <c r="S532" s="19" t="s">
        <v>121</v>
      </c>
      <c r="T532" s="16">
        <v>0</v>
      </c>
      <c r="U532" s="16">
        <v>0</v>
      </c>
      <c r="V532" s="16">
        <v>103.5</v>
      </c>
      <c r="W532" s="19" t="s">
        <v>172</v>
      </c>
      <c r="X532" s="19" t="s">
        <v>260</v>
      </c>
      <c r="Y532" s="12">
        <v>43177</v>
      </c>
      <c r="Z532" s="12">
        <v>43171</v>
      </c>
      <c r="AA532" s="12">
        <v>43177</v>
      </c>
    </row>
    <row r="533" spans="1:27" x14ac:dyDescent="0.25">
      <c r="A533">
        <v>529</v>
      </c>
      <c r="B533" s="19" t="s">
        <v>712</v>
      </c>
      <c r="C533" s="19" t="s">
        <v>254</v>
      </c>
      <c r="D533" s="19" t="s">
        <v>255</v>
      </c>
      <c r="E533" s="19" t="s">
        <v>256</v>
      </c>
      <c r="F533" s="19" t="s">
        <v>1522</v>
      </c>
      <c r="G533" s="12">
        <v>43155</v>
      </c>
      <c r="H533" s="12">
        <v>43175</v>
      </c>
      <c r="I533">
        <v>3</v>
      </c>
      <c r="J533" s="12"/>
      <c r="K533" t="b">
        <v>1</v>
      </c>
      <c r="L533" s="12"/>
      <c r="M533" t="b">
        <v>1</v>
      </c>
      <c r="N533">
        <v>0</v>
      </c>
      <c r="O533">
        <v>0</v>
      </c>
      <c r="P533" s="19" t="s">
        <v>172</v>
      </c>
      <c r="Q533" s="19" t="s">
        <v>285</v>
      </c>
      <c r="R533" s="19" t="s">
        <v>172</v>
      </c>
      <c r="S533" s="19" t="s">
        <v>122</v>
      </c>
      <c r="T533" s="16">
        <v>0</v>
      </c>
      <c r="U533" s="16">
        <v>0</v>
      </c>
      <c r="V533" s="16">
        <v>42.9</v>
      </c>
      <c r="W533" s="19" t="s">
        <v>172</v>
      </c>
      <c r="X533" s="19" t="s">
        <v>260</v>
      </c>
      <c r="Y533" s="12">
        <v>43177</v>
      </c>
      <c r="Z533" s="12">
        <v>43171</v>
      </c>
      <c r="AA533" s="12">
        <v>43177</v>
      </c>
    </row>
    <row r="534" spans="1:27" x14ac:dyDescent="0.25">
      <c r="A534">
        <v>530</v>
      </c>
      <c r="B534" s="19" t="s">
        <v>725</v>
      </c>
      <c r="C534" s="19" t="s">
        <v>726</v>
      </c>
      <c r="D534" s="19" t="s">
        <v>727</v>
      </c>
      <c r="E534" s="19" t="s">
        <v>102</v>
      </c>
      <c r="F534" s="19" t="s">
        <v>728</v>
      </c>
      <c r="G534" s="12">
        <v>43148</v>
      </c>
      <c r="H534" s="12">
        <v>43178</v>
      </c>
      <c r="J534" s="12">
        <v>43157</v>
      </c>
      <c r="K534" t="b">
        <v>1</v>
      </c>
      <c r="L534" s="12"/>
      <c r="M534" t="b">
        <v>0</v>
      </c>
      <c r="N534">
        <v>1</v>
      </c>
      <c r="O534">
        <v>1</v>
      </c>
      <c r="P534" s="19" t="s">
        <v>729</v>
      </c>
      <c r="Q534" s="19" t="s">
        <v>259</v>
      </c>
      <c r="R534" s="19" t="s">
        <v>138</v>
      </c>
      <c r="S534" s="19" t="s">
        <v>135</v>
      </c>
      <c r="T534" s="16">
        <v>97</v>
      </c>
      <c r="U534" s="16">
        <v>16.440000000000001</v>
      </c>
      <c r="V534" s="16">
        <v>113.44</v>
      </c>
      <c r="W534" s="19" t="s">
        <v>1523</v>
      </c>
      <c r="X534" s="19" t="s">
        <v>730</v>
      </c>
      <c r="Y534" s="12">
        <v>43177</v>
      </c>
      <c r="Z534" s="12">
        <v>43171</v>
      </c>
      <c r="AA534" s="12">
        <v>43177</v>
      </c>
    </row>
    <row r="535" spans="1:27" x14ac:dyDescent="0.25">
      <c r="A535">
        <v>531</v>
      </c>
      <c r="B535" s="19" t="s">
        <v>725</v>
      </c>
      <c r="C535" s="19" t="s">
        <v>726</v>
      </c>
      <c r="D535" s="19" t="s">
        <v>727</v>
      </c>
      <c r="E535" s="19" t="s">
        <v>102</v>
      </c>
      <c r="F535" s="19" t="s">
        <v>731</v>
      </c>
      <c r="G535" s="12">
        <v>43156</v>
      </c>
      <c r="H535" s="12">
        <v>43178</v>
      </c>
      <c r="J535" s="12">
        <v>43160</v>
      </c>
      <c r="K535" t="b">
        <v>1</v>
      </c>
      <c r="L535" s="12"/>
      <c r="M535" t="b">
        <v>0</v>
      </c>
      <c r="N535">
        <v>1</v>
      </c>
      <c r="O535">
        <v>1</v>
      </c>
      <c r="P535" s="19" t="s">
        <v>686</v>
      </c>
      <c r="Q535" s="19" t="s">
        <v>259</v>
      </c>
      <c r="R535" s="19" t="s">
        <v>135</v>
      </c>
      <c r="S535" s="19" t="s">
        <v>125</v>
      </c>
      <c r="T535" s="16">
        <v>149.9</v>
      </c>
      <c r="U535" s="16">
        <v>15.8</v>
      </c>
      <c r="V535" s="16">
        <v>165.7</v>
      </c>
      <c r="W535" s="19" t="s">
        <v>1524</v>
      </c>
      <c r="X535" s="19" t="s">
        <v>730</v>
      </c>
      <c r="Y535" s="12">
        <v>43177</v>
      </c>
      <c r="Z535" s="12">
        <v>43171</v>
      </c>
      <c r="AA535" s="12">
        <v>43177</v>
      </c>
    </row>
    <row r="536" spans="1:27" x14ac:dyDescent="0.25">
      <c r="A536">
        <v>532</v>
      </c>
      <c r="B536" s="19" t="s">
        <v>725</v>
      </c>
      <c r="C536" s="19" t="s">
        <v>726</v>
      </c>
      <c r="D536" s="19" t="s">
        <v>727</v>
      </c>
      <c r="E536" s="19" t="s">
        <v>102</v>
      </c>
      <c r="F536" s="19" t="s">
        <v>732</v>
      </c>
      <c r="G536" s="12">
        <v>43153</v>
      </c>
      <c r="H536" s="12">
        <v>43180</v>
      </c>
      <c r="J536" s="12">
        <v>43161</v>
      </c>
      <c r="K536" t="b">
        <v>1</v>
      </c>
      <c r="L536" s="12"/>
      <c r="M536" t="b">
        <v>0</v>
      </c>
      <c r="N536">
        <v>1</v>
      </c>
      <c r="O536">
        <v>1</v>
      </c>
      <c r="P536" s="19" t="s">
        <v>733</v>
      </c>
      <c r="Q536" s="19" t="s">
        <v>259</v>
      </c>
      <c r="R536" s="19" t="s">
        <v>131</v>
      </c>
      <c r="S536" s="19" t="s">
        <v>122</v>
      </c>
      <c r="T536" s="16">
        <v>1399.99</v>
      </c>
      <c r="U536" s="16">
        <v>23.53</v>
      </c>
      <c r="V536" s="16">
        <v>1423.52</v>
      </c>
      <c r="W536" s="19" t="s">
        <v>1525</v>
      </c>
      <c r="X536" s="19" t="s">
        <v>730</v>
      </c>
      <c r="Y536" s="12">
        <v>43177</v>
      </c>
      <c r="Z536" s="12">
        <v>43171</v>
      </c>
      <c r="AA536" s="12">
        <v>43177</v>
      </c>
    </row>
    <row r="537" spans="1:27" x14ac:dyDescent="0.25">
      <c r="A537">
        <v>533</v>
      </c>
      <c r="B537" s="19" t="s">
        <v>725</v>
      </c>
      <c r="C537" s="19" t="s">
        <v>726</v>
      </c>
      <c r="D537" s="19" t="s">
        <v>727</v>
      </c>
      <c r="E537" s="19" t="s">
        <v>102</v>
      </c>
      <c r="F537" s="19" t="s">
        <v>734</v>
      </c>
      <c r="G537" s="12">
        <v>43157</v>
      </c>
      <c r="H537" s="12">
        <v>43179</v>
      </c>
      <c r="J537" s="12">
        <v>43161</v>
      </c>
      <c r="K537" t="b">
        <v>1</v>
      </c>
      <c r="L537" s="12"/>
      <c r="M537" t="b">
        <v>0</v>
      </c>
      <c r="N537">
        <v>1</v>
      </c>
      <c r="O537">
        <v>1</v>
      </c>
      <c r="P537" s="19" t="s">
        <v>686</v>
      </c>
      <c r="Q537" s="19" t="s">
        <v>259</v>
      </c>
      <c r="R537" s="19" t="s">
        <v>135</v>
      </c>
      <c r="S537" s="19" t="s">
        <v>121</v>
      </c>
      <c r="T537" s="16">
        <v>149.9</v>
      </c>
      <c r="U537" s="16">
        <v>13.18</v>
      </c>
      <c r="V537" s="16">
        <v>163.08000000000001</v>
      </c>
      <c r="W537" s="19" t="s">
        <v>1526</v>
      </c>
      <c r="X537" s="19" t="s">
        <v>730</v>
      </c>
      <c r="Y537" s="12">
        <v>43177</v>
      </c>
      <c r="Z537" s="12">
        <v>43171</v>
      </c>
      <c r="AA537" s="12">
        <v>43177</v>
      </c>
    </row>
    <row r="538" spans="1:27" x14ac:dyDescent="0.25">
      <c r="A538">
        <v>534</v>
      </c>
      <c r="B538" s="19" t="s">
        <v>725</v>
      </c>
      <c r="C538" s="19" t="s">
        <v>726</v>
      </c>
      <c r="D538" s="19" t="s">
        <v>727</v>
      </c>
      <c r="E538" s="19" t="s">
        <v>102</v>
      </c>
      <c r="F538" s="19" t="s">
        <v>735</v>
      </c>
      <c r="G538" s="12">
        <v>43158</v>
      </c>
      <c r="H538" s="12">
        <v>43185</v>
      </c>
      <c r="J538" s="12">
        <v>43164</v>
      </c>
      <c r="K538" t="b">
        <v>1</v>
      </c>
      <c r="L538" s="12"/>
      <c r="M538" t="b">
        <v>0</v>
      </c>
      <c r="N538">
        <v>1</v>
      </c>
      <c r="O538">
        <v>1</v>
      </c>
      <c r="P538" s="19" t="s">
        <v>686</v>
      </c>
      <c r="Q538" s="19" t="s">
        <v>259</v>
      </c>
      <c r="R538" s="19" t="s">
        <v>135</v>
      </c>
      <c r="S538" s="19" t="s">
        <v>131</v>
      </c>
      <c r="T538" s="16">
        <v>149.9</v>
      </c>
      <c r="U538" s="16">
        <v>17.489999999999998</v>
      </c>
      <c r="V538" s="16">
        <v>167.39</v>
      </c>
      <c r="W538" s="19" t="s">
        <v>1527</v>
      </c>
      <c r="X538" s="19" t="s">
        <v>730</v>
      </c>
      <c r="Y538" s="12">
        <v>43177</v>
      </c>
      <c r="Z538" s="12">
        <v>43171</v>
      </c>
      <c r="AA538" s="12">
        <v>43177</v>
      </c>
    </row>
    <row r="539" spans="1:27" x14ac:dyDescent="0.25">
      <c r="A539">
        <v>535</v>
      </c>
      <c r="B539" s="19" t="s">
        <v>725</v>
      </c>
      <c r="C539" s="19" t="s">
        <v>726</v>
      </c>
      <c r="D539" s="19" t="s">
        <v>727</v>
      </c>
      <c r="E539" s="19" t="s">
        <v>102</v>
      </c>
      <c r="F539" s="19" t="s">
        <v>736</v>
      </c>
      <c r="G539" s="12">
        <v>43158</v>
      </c>
      <c r="H539" s="12">
        <v>43180</v>
      </c>
      <c r="J539" s="12">
        <v>43164</v>
      </c>
      <c r="K539" t="b">
        <v>1</v>
      </c>
      <c r="L539" s="12"/>
      <c r="M539" t="b">
        <v>0</v>
      </c>
      <c r="N539">
        <v>1</v>
      </c>
      <c r="O539">
        <v>1</v>
      </c>
      <c r="P539" s="19" t="s">
        <v>670</v>
      </c>
      <c r="Q539" s="19" t="s">
        <v>259</v>
      </c>
      <c r="R539" s="19" t="s">
        <v>121</v>
      </c>
      <c r="S539" s="19" t="s">
        <v>127</v>
      </c>
      <c r="T539" s="16">
        <v>89.9</v>
      </c>
      <c r="U539" s="16">
        <v>16.88</v>
      </c>
      <c r="V539" s="16">
        <v>106.78</v>
      </c>
      <c r="W539" s="19" t="s">
        <v>1528</v>
      </c>
      <c r="X539" s="19" t="s">
        <v>730</v>
      </c>
      <c r="Y539" s="12">
        <v>43177</v>
      </c>
      <c r="Z539" s="12">
        <v>43171</v>
      </c>
      <c r="AA539" s="12">
        <v>43177</v>
      </c>
    </row>
    <row r="540" spans="1:27" x14ac:dyDescent="0.25">
      <c r="A540">
        <v>536</v>
      </c>
      <c r="B540" s="19" t="s">
        <v>725</v>
      </c>
      <c r="C540" s="19" t="s">
        <v>726</v>
      </c>
      <c r="D540" s="19" t="s">
        <v>727</v>
      </c>
      <c r="E540" s="19" t="s">
        <v>102</v>
      </c>
      <c r="F540" s="19" t="s">
        <v>737</v>
      </c>
      <c r="G540" s="12">
        <v>43158</v>
      </c>
      <c r="H540" s="12">
        <v>43179</v>
      </c>
      <c r="J540" s="12">
        <v>43164</v>
      </c>
      <c r="K540" t="b">
        <v>1</v>
      </c>
      <c r="L540" s="12"/>
      <c r="M540" t="b">
        <v>0</v>
      </c>
      <c r="N540">
        <v>1</v>
      </c>
      <c r="O540">
        <v>1</v>
      </c>
      <c r="P540" s="19" t="s">
        <v>661</v>
      </c>
      <c r="Q540" s="19" t="s">
        <v>259</v>
      </c>
      <c r="R540" s="19" t="s">
        <v>121</v>
      </c>
      <c r="S540" s="19" t="s">
        <v>122</v>
      </c>
      <c r="T540" s="16">
        <v>54.99</v>
      </c>
      <c r="U540" s="16">
        <v>16.14</v>
      </c>
      <c r="V540" s="16">
        <v>71.13</v>
      </c>
      <c r="W540" s="19" t="s">
        <v>1529</v>
      </c>
      <c r="X540" s="19" t="s">
        <v>730</v>
      </c>
      <c r="Y540" s="12">
        <v>43177</v>
      </c>
      <c r="Z540" s="12">
        <v>43171</v>
      </c>
      <c r="AA540" s="12">
        <v>43177</v>
      </c>
    </row>
    <row r="541" spans="1:27" x14ac:dyDescent="0.25">
      <c r="A541">
        <v>537</v>
      </c>
      <c r="B541" s="19" t="s">
        <v>725</v>
      </c>
      <c r="C541" s="19" t="s">
        <v>726</v>
      </c>
      <c r="D541" s="19" t="s">
        <v>727</v>
      </c>
      <c r="E541" s="19" t="s">
        <v>102</v>
      </c>
      <c r="F541" s="19" t="s">
        <v>738</v>
      </c>
      <c r="G541" s="12">
        <v>43155</v>
      </c>
      <c r="H541" s="12">
        <v>43181</v>
      </c>
      <c r="J541" s="12">
        <v>43165</v>
      </c>
      <c r="K541" t="b">
        <v>1</v>
      </c>
      <c r="L541" s="12"/>
      <c r="M541" t="b">
        <v>0</v>
      </c>
      <c r="N541">
        <v>1</v>
      </c>
      <c r="O541">
        <v>1</v>
      </c>
      <c r="P541" s="19" t="s">
        <v>290</v>
      </c>
      <c r="Q541" s="19" t="s">
        <v>259</v>
      </c>
      <c r="R541" s="19" t="s">
        <v>135</v>
      </c>
      <c r="S541" s="19" t="s">
        <v>135</v>
      </c>
      <c r="T541" s="16">
        <v>214.9</v>
      </c>
      <c r="U541" s="16">
        <v>14.52</v>
      </c>
      <c r="V541" s="16">
        <v>229.42</v>
      </c>
      <c r="W541" s="19" t="s">
        <v>1530</v>
      </c>
      <c r="X541" s="19" t="s">
        <v>730</v>
      </c>
      <c r="Y541" s="12">
        <v>43177</v>
      </c>
      <c r="Z541" s="12">
        <v>43171</v>
      </c>
      <c r="AA541" s="12">
        <v>43177</v>
      </c>
    </row>
    <row r="542" spans="1:27" x14ac:dyDescent="0.25">
      <c r="A542">
        <v>538</v>
      </c>
      <c r="B542" s="19" t="s">
        <v>725</v>
      </c>
      <c r="C542" s="19" t="s">
        <v>726</v>
      </c>
      <c r="D542" s="19" t="s">
        <v>727</v>
      </c>
      <c r="E542" s="19" t="s">
        <v>102</v>
      </c>
      <c r="F542" s="19" t="s">
        <v>739</v>
      </c>
      <c r="G542" s="12">
        <v>43158</v>
      </c>
      <c r="H542" s="12">
        <v>43185</v>
      </c>
      <c r="J542" s="12">
        <v>43165</v>
      </c>
      <c r="K542" t="b">
        <v>1</v>
      </c>
      <c r="L542" s="12"/>
      <c r="M542" t="b">
        <v>0</v>
      </c>
      <c r="N542">
        <v>1</v>
      </c>
      <c r="O542">
        <v>1</v>
      </c>
      <c r="P542" s="19" t="s">
        <v>686</v>
      </c>
      <c r="Q542" s="19" t="s">
        <v>259</v>
      </c>
      <c r="R542" s="19" t="s">
        <v>135</v>
      </c>
      <c r="S542" s="19" t="s">
        <v>121</v>
      </c>
      <c r="T542" s="16">
        <v>149.9</v>
      </c>
      <c r="U542" s="16">
        <v>15.8</v>
      </c>
      <c r="V542" s="16">
        <v>165.7</v>
      </c>
      <c r="W542" s="19" t="s">
        <v>1531</v>
      </c>
      <c r="X542" s="19" t="s">
        <v>730</v>
      </c>
      <c r="Y542" s="12">
        <v>43177</v>
      </c>
      <c r="Z542" s="12">
        <v>43171</v>
      </c>
      <c r="AA542" s="12">
        <v>43177</v>
      </c>
    </row>
    <row r="543" spans="1:27" x14ac:dyDescent="0.25">
      <c r="A543">
        <v>539</v>
      </c>
      <c r="B543" s="19" t="s">
        <v>725</v>
      </c>
      <c r="C543" s="19" t="s">
        <v>726</v>
      </c>
      <c r="D543" s="19" t="s">
        <v>727</v>
      </c>
      <c r="E543" s="19" t="s">
        <v>102</v>
      </c>
      <c r="F543" s="19" t="s">
        <v>740</v>
      </c>
      <c r="G543" s="12">
        <v>43159</v>
      </c>
      <c r="H543" s="12">
        <v>43178</v>
      </c>
      <c r="J543" s="12">
        <v>43165</v>
      </c>
      <c r="K543" t="b">
        <v>1</v>
      </c>
      <c r="L543" s="12"/>
      <c r="M543" t="b">
        <v>0</v>
      </c>
      <c r="N543">
        <v>1</v>
      </c>
      <c r="O543">
        <v>1</v>
      </c>
      <c r="P543" s="19" t="s">
        <v>670</v>
      </c>
      <c r="Q543" s="19" t="s">
        <v>259</v>
      </c>
      <c r="R543" s="19" t="s">
        <v>121</v>
      </c>
      <c r="S543" s="19" t="s">
        <v>121</v>
      </c>
      <c r="T543" s="16">
        <v>89.9</v>
      </c>
      <c r="U543" s="16">
        <v>13.65</v>
      </c>
      <c r="V543" s="16">
        <v>103.55</v>
      </c>
      <c r="W543" s="19" t="s">
        <v>1532</v>
      </c>
      <c r="X543" s="19" t="s">
        <v>730</v>
      </c>
      <c r="Y543" s="12">
        <v>43177</v>
      </c>
      <c r="Z543" s="12">
        <v>43171</v>
      </c>
      <c r="AA543" s="12">
        <v>43177</v>
      </c>
    </row>
    <row r="544" spans="1:27" x14ac:dyDescent="0.25">
      <c r="A544">
        <v>540</v>
      </c>
      <c r="B544" s="19" t="s">
        <v>725</v>
      </c>
      <c r="C544" s="19" t="s">
        <v>726</v>
      </c>
      <c r="D544" s="19" t="s">
        <v>727</v>
      </c>
      <c r="E544" s="19" t="s">
        <v>102</v>
      </c>
      <c r="F544" s="19" t="s">
        <v>741</v>
      </c>
      <c r="G544" s="12">
        <v>43157</v>
      </c>
      <c r="H544" s="12">
        <v>43178</v>
      </c>
      <c r="J544" s="12">
        <v>43165</v>
      </c>
      <c r="K544" t="b">
        <v>1</v>
      </c>
      <c r="L544" s="12"/>
      <c r="M544" t="b">
        <v>0</v>
      </c>
      <c r="N544">
        <v>1</v>
      </c>
      <c r="O544">
        <v>1</v>
      </c>
      <c r="P544" s="19" t="s">
        <v>339</v>
      </c>
      <c r="Q544" s="19" t="s">
        <v>259</v>
      </c>
      <c r="R544" s="19" t="s">
        <v>131</v>
      </c>
      <c r="S544" s="19" t="s">
        <v>131</v>
      </c>
      <c r="T544" s="16">
        <v>69.900000000000006</v>
      </c>
      <c r="U544" s="16">
        <v>26.11</v>
      </c>
      <c r="V544" s="16">
        <v>96.01</v>
      </c>
      <c r="W544" s="19" t="s">
        <v>1532</v>
      </c>
      <c r="X544" s="19" t="s">
        <v>730</v>
      </c>
      <c r="Y544" s="12">
        <v>43177</v>
      </c>
      <c r="Z544" s="12">
        <v>43171</v>
      </c>
      <c r="AA544" s="12">
        <v>43177</v>
      </c>
    </row>
    <row r="545" spans="1:27" x14ac:dyDescent="0.25">
      <c r="A545">
        <v>541</v>
      </c>
      <c r="B545" s="19" t="s">
        <v>725</v>
      </c>
      <c r="C545" s="19" t="s">
        <v>726</v>
      </c>
      <c r="D545" s="19" t="s">
        <v>727</v>
      </c>
      <c r="E545" s="19" t="s">
        <v>102</v>
      </c>
      <c r="F545" s="19" t="s">
        <v>742</v>
      </c>
      <c r="G545" s="12">
        <v>43151</v>
      </c>
      <c r="H545" s="12">
        <v>43180</v>
      </c>
      <c r="J545" s="12">
        <v>43165</v>
      </c>
      <c r="K545" t="b">
        <v>1</v>
      </c>
      <c r="L545" s="12"/>
      <c r="M545" t="b">
        <v>0</v>
      </c>
      <c r="N545">
        <v>1</v>
      </c>
      <c r="O545">
        <v>1</v>
      </c>
      <c r="P545" s="19" t="s">
        <v>743</v>
      </c>
      <c r="Q545" s="19" t="s">
        <v>259</v>
      </c>
      <c r="R545" s="19" t="s">
        <v>131</v>
      </c>
      <c r="S545" s="19" t="s">
        <v>121</v>
      </c>
      <c r="T545" s="16">
        <v>31.9</v>
      </c>
      <c r="U545" s="16">
        <v>14.1</v>
      </c>
      <c r="V545" s="16">
        <v>46</v>
      </c>
      <c r="W545" s="19" t="s">
        <v>1533</v>
      </c>
      <c r="X545" s="19" t="s">
        <v>730</v>
      </c>
      <c r="Y545" s="12">
        <v>43177</v>
      </c>
      <c r="Z545" s="12">
        <v>43171</v>
      </c>
      <c r="AA545" s="12">
        <v>43177</v>
      </c>
    </row>
    <row r="546" spans="1:27" x14ac:dyDescent="0.25">
      <c r="A546">
        <v>542</v>
      </c>
      <c r="B546" s="19" t="s">
        <v>725</v>
      </c>
      <c r="C546" s="19" t="s">
        <v>726</v>
      </c>
      <c r="D546" s="19" t="s">
        <v>727</v>
      </c>
      <c r="E546" s="19" t="s">
        <v>102</v>
      </c>
      <c r="F546" s="19" t="s">
        <v>744</v>
      </c>
      <c r="G546" s="12">
        <v>43161</v>
      </c>
      <c r="H546" s="12">
        <v>43188</v>
      </c>
      <c r="J546" s="12">
        <v>43166</v>
      </c>
      <c r="K546" t="b">
        <v>1</v>
      </c>
      <c r="L546" s="12"/>
      <c r="M546" t="b">
        <v>0</v>
      </c>
      <c r="N546">
        <v>1</v>
      </c>
      <c r="O546">
        <v>1</v>
      </c>
      <c r="P546" s="19" t="s">
        <v>686</v>
      </c>
      <c r="Q546" s="19" t="s">
        <v>259</v>
      </c>
      <c r="R546" s="19" t="s">
        <v>135</v>
      </c>
      <c r="S546" s="19" t="s">
        <v>131</v>
      </c>
      <c r="T546" s="16">
        <v>76.25</v>
      </c>
      <c r="U546" s="16">
        <v>16.97</v>
      </c>
      <c r="V546" s="16">
        <v>93.22</v>
      </c>
      <c r="W546" s="19" t="s">
        <v>1534</v>
      </c>
      <c r="X546" s="19" t="s">
        <v>730</v>
      </c>
      <c r="Y546" s="12">
        <v>43177</v>
      </c>
      <c r="Z546" s="12">
        <v>43171</v>
      </c>
      <c r="AA546" s="12">
        <v>43177</v>
      </c>
    </row>
    <row r="547" spans="1:27" x14ac:dyDescent="0.25">
      <c r="A547">
        <v>543</v>
      </c>
      <c r="B547" s="19" t="s">
        <v>725</v>
      </c>
      <c r="C547" s="19" t="s">
        <v>726</v>
      </c>
      <c r="D547" s="19" t="s">
        <v>727</v>
      </c>
      <c r="E547" s="19" t="s">
        <v>102</v>
      </c>
      <c r="F547" s="19" t="s">
        <v>745</v>
      </c>
      <c r="G547" s="12">
        <v>43162</v>
      </c>
      <c r="H547" s="12">
        <v>43180</v>
      </c>
      <c r="J547" s="12">
        <v>43167</v>
      </c>
      <c r="K547" t="b">
        <v>1</v>
      </c>
      <c r="L547" s="12"/>
      <c r="M547" t="b">
        <v>0</v>
      </c>
      <c r="N547">
        <v>1</v>
      </c>
      <c r="O547">
        <v>1</v>
      </c>
      <c r="P547" s="19" t="s">
        <v>585</v>
      </c>
      <c r="Q547" s="19" t="s">
        <v>259</v>
      </c>
      <c r="R547" s="19" t="s">
        <v>121</v>
      </c>
      <c r="S547" s="19" t="s">
        <v>121</v>
      </c>
      <c r="T547" s="16">
        <v>163.9</v>
      </c>
      <c r="U547" s="16">
        <v>13.49</v>
      </c>
      <c r="V547" s="16">
        <v>177.39</v>
      </c>
      <c r="W547" s="19" t="s">
        <v>1535</v>
      </c>
      <c r="X547" s="19" t="s">
        <v>730</v>
      </c>
      <c r="Y547" s="12">
        <v>43177</v>
      </c>
      <c r="Z547" s="12">
        <v>43171</v>
      </c>
      <c r="AA547" s="12">
        <v>43177</v>
      </c>
    </row>
    <row r="548" spans="1:27" x14ac:dyDescent="0.25">
      <c r="A548">
        <v>544</v>
      </c>
      <c r="B548" s="19" t="s">
        <v>725</v>
      </c>
      <c r="C548" s="19" t="s">
        <v>726</v>
      </c>
      <c r="D548" s="19" t="s">
        <v>727</v>
      </c>
      <c r="E548" s="19" t="s">
        <v>102</v>
      </c>
      <c r="F548" s="19" t="s">
        <v>746</v>
      </c>
      <c r="G548" s="12">
        <v>43161</v>
      </c>
      <c r="H548" s="12">
        <v>43201</v>
      </c>
      <c r="J548" s="12">
        <v>43167</v>
      </c>
      <c r="K548" t="b">
        <v>1</v>
      </c>
      <c r="L548" s="12"/>
      <c r="M548" t="b">
        <v>0</v>
      </c>
      <c r="N548">
        <v>2</v>
      </c>
      <c r="O548">
        <v>1</v>
      </c>
      <c r="P548" s="19" t="s">
        <v>686</v>
      </c>
      <c r="Q548" s="19" t="s">
        <v>259</v>
      </c>
      <c r="R548" s="19" t="s">
        <v>135</v>
      </c>
      <c r="S548" s="19" t="s">
        <v>122</v>
      </c>
      <c r="T548" s="16">
        <v>152.5</v>
      </c>
      <c r="U548" s="16">
        <v>33.94</v>
      </c>
      <c r="V548" s="16">
        <v>186.44</v>
      </c>
      <c r="W548" s="19" t="s">
        <v>1536</v>
      </c>
      <c r="X548" s="19" t="s">
        <v>730</v>
      </c>
      <c r="Y548" s="12">
        <v>43177</v>
      </c>
      <c r="Z548" s="12">
        <v>43171</v>
      </c>
      <c r="AA548" s="12">
        <v>43177</v>
      </c>
    </row>
    <row r="549" spans="1:27" x14ac:dyDescent="0.25">
      <c r="A549">
        <v>545</v>
      </c>
      <c r="B549" s="19" t="s">
        <v>725</v>
      </c>
      <c r="C549" s="19" t="s">
        <v>726</v>
      </c>
      <c r="D549" s="19" t="s">
        <v>727</v>
      </c>
      <c r="E549" s="19" t="s">
        <v>102</v>
      </c>
      <c r="F549" s="19" t="s">
        <v>747</v>
      </c>
      <c r="G549" s="12">
        <v>43161</v>
      </c>
      <c r="H549" s="12">
        <v>43188</v>
      </c>
      <c r="J549" s="12">
        <v>43167</v>
      </c>
      <c r="K549" t="b">
        <v>1</v>
      </c>
      <c r="L549" s="12"/>
      <c r="M549" t="b">
        <v>0</v>
      </c>
      <c r="N549">
        <v>2</v>
      </c>
      <c r="O549">
        <v>1</v>
      </c>
      <c r="P549" s="19" t="s">
        <v>686</v>
      </c>
      <c r="Q549" s="19" t="s">
        <v>259</v>
      </c>
      <c r="R549" s="19" t="s">
        <v>135</v>
      </c>
      <c r="S549" s="19" t="s">
        <v>131</v>
      </c>
      <c r="T549" s="16">
        <v>152.5</v>
      </c>
      <c r="U549" s="16">
        <v>33.94</v>
      </c>
      <c r="V549" s="16">
        <v>186.44</v>
      </c>
      <c r="W549" s="19" t="s">
        <v>1537</v>
      </c>
      <c r="X549" s="19" t="s">
        <v>730</v>
      </c>
      <c r="Y549" s="12">
        <v>43177</v>
      </c>
      <c r="Z549" s="12">
        <v>43171</v>
      </c>
      <c r="AA549" s="12">
        <v>43177</v>
      </c>
    </row>
    <row r="550" spans="1:27" x14ac:dyDescent="0.25">
      <c r="A550">
        <v>546</v>
      </c>
      <c r="B550" s="19" t="s">
        <v>725</v>
      </c>
      <c r="C550" s="19" t="s">
        <v>726</v>
      </c>
      <c r="D550" s="19" t="s">
        <v>727</v>
      </c>
      <c r="E550" s="19" t="s">
        <v>102</v>
      </c>
      <c r="F550" s="19" t="s">
        <v>748</v>
      </c>
      <c r="G550" s="12">
        <v>43163</v>
      </c>
      <c r="H550" s="12">
        <v>43188</v>
      </c>
      <c r="J550" s="12">
        <v>43167</v>
      </c>
      <c r="K550" t="b">
        <v>1</v>
      </c>
      <c r="L550" s="12"/>
      <c r="M550" t="b">
        <v>0</v>
      </c>
      <c r="N550">
        <v>1</v>
      </c>
      <c r="O550">
        <v>1</v>
      </c>
      <c r="P550" s="19" t="s">
        <v>686</v>
      </c>
      <c r="Q550" s="19" t="s">
        <v>259</v>
      </c>
      <c r="R550" s="19" t="s">
        <v>135</v>
      </c>
      <c r="S550" s="19" t="s">
        <v>121</v>
      </c>
      <c r="T550" s="16">
        <v>149.9</v>
      </c>
      <c r="U550" s="16">
        <v>13.18</v>
      </c>
      <c r="V550" s="16">
        <v>163.08000000000001</v>
      </c>
      <c r="W550" s="19" t="s">
        <v>1537</v>
      </c>
      <c r="X550" s="19" t="s">
        <v>730</v>
      </c>
      <c r="Y550" s="12">
        <v>43177</v>
      </c>
      <c r="Z550" s="12">
        <v>43171</v>
      </c>
      <c r="AA550" s="12">
        <v>43177</v>
      </c>
    </row>
    <row r="551" spans="1:27" x14ac:dyDescent="0.25">
      <c r="A551">
        <v>547</v>
      </c>
      <c r="B551" s="19" t="s">
        <v>725</v>
      </c>
      <c r="C551" s="19" t="s">
        <v>726</v>
      </c>
      <c r="D551" s="19" t="s">
        <v>727</v>
      </c>
      <c r="E551" s="19" t="s">
        <v>102</v>
      </c>
      <c r="F551" s="19" t="s">
        <v>749</v>
      </c>
      <c r="G551" s="12">
        <v>43162</v>
      </c>
      <c r="H551" s="12">
        <v>43187</v>
      </c>
      <c r="J551" s="12">
        <v>43167</v>
      </c>
      <c r="K551" t="b">
        <v>1</v>
      </c>
      <c r="L551" s="12"/>
      <c r="M551" t="b">
        <v>0</v>
      </c>
      <c r="N551">
        <v>1</v>
      </c>
      <c r="O551">
        <v>1</v>
      </c>
      <c r="P551" s="19" t="s">
        <v>686</v>
      </c>
      <c r="Q551" s="19" t="s">
        <v>259</v>
      </c>
      <c r="R551" s="19" t="s">
        <v>135</v>
      </c>
      <c r="S551" s="19" t="s">
        <v>122</v>
      </c>
      <c r="T551" s="16">
        <v>149.9</v>
      </c>
      <c r="U551" s="16">
        <v>17.489999999999998</v>
      </c>
      <c r="V551" s="16">
        <v>167.39</v>
      </c>
      <c r="W551" s="19" t="s">
        <v>1538</v>
      </c>
      <c r="X551" s="19" t="s">
        <v>730</v>
      </c>
      <c r="Y551" s="12">
        <v>43177</v>
      </c>
      <c r="Z551" s="12">
        <v>43171</v>
      </c>
      <c r="AA551" s="12">
        <v>43177</v>
      </c>
    </row>
    <row r="552" spans="1:27" x14ac:dyDescent="0.25">
      <c r="A552">
        <v>548</v>
      </c>
      <c r="B552" s="19" t="s">
        <v>725</v>
      </c>
      <c r="C552" s="19" t="s">
        <v>726</v>
      </c>
      <c r="D552" s="19" t="s">
        <v>727</v>
      </c>
      <c r="E552" s="19" t="s">
        <v>102</v>
      </c>
      <c r="F552" s="19" t="s">
        <v>750</v>
      </c>
      <c r="G552" s="12">
        <v>43163</v>
      </c>
      <c r="H552" s="12">
        <v>43188</v>
      </c>
      <c r="J552" s="12">
        <v>43167</v>
      </c>
      <c r="K552" t="b">
        <v>1</v>
      </c>
      <c r="L552" s="12"/>
      <c r="M552" t="b">
        <v>0</v>
      </c>
      <c r="N552">
        <v>1</v>
      </c>
      <c r="O552">
        <v>1</v>
      </c>
      <c r="P552" s="19" t="s">
        <v>751</v>
      </c>
      <c r="Q552" s="19" t="s">
        <v>259</v>
      </c>
      <c r="R552" s="19" t="s">
        <v>121</v>
      </c>
      <c r="S552" s="19" t="s">
        <v>135</v>
      </c>
      <c r="T552" s="16">
        <v>109.9</v>
      </c>
      <c r="U552" s="16">
        <v>17.02</v>
      </c>
      <c r="V552" s="16">
        <v>126.92</v>
      </c>
      <c r="W552" s="19" t="s">
        <v>1537</v>
      </c>
      <c r="X552" s="19" t="s">
        <v>730</v>
      </c>
      <c r="Y552" s="12">
        <v>43177</v>
      </c>
      <c r="Z552" s="12">
        <v>43171</v>
      </c>
      <c r="AA552" s="12">
        <v>43177</v>
      </c>
    </row>
    <row r="553" spans="1:27" x14ac:dyDescent="0.25">
      <c r="A553">
        <v>549</v>
      </c>
      <c r="B553" s="19" t="s">
        <v>725</v>
      </c>
      <c r="C553" s="19" t="s">
        <v>726</v>
      </c>
      <c r="D553" s="19" t="s">
        <v>727</v>
      </c>
      <c r="E553" s="19" t="s">
        <v>102</v>
      </c>
      <c r="F553" s="19" t="s">
        <v>752</v>
      </c>
      <c r="G553" s="12">
        <v>43160</v>
      </c>
      <c r="H553" s="12">
        <v>43182</v>
      </c>
      <c r="J553" s="12">
        <v>43167</v>
      </c>
      <c r="K553" t="b">
        <v>1</v>
      </c>
      <c r="L553" s="12"/>
      <c r="M553" t="b">
        <v>0</v>
      </c>
      <c r="N553">
        <v>1</v>
      </c>
      <c r="O553">
        <v>1</v>
      </c>
      <c r="P553" s="19" t="s">
        <v>365</v>
      </c>
      <c r="Q553" s="19" t="s">
        <v>259</v>
      </c>
      <c r="R553" s="19" t="s">
        <v>121</v>
      </c>
      <c r="S553" s="19" t="s">
        <v>131</v>
      </c>
      <c r="T553" s="16">
        <v>94.99</v>
      </c>
      <c r="U553" s="16">
        <v>15.41</v>
      </c>
      <c r="V553" s="16">
        <v>110.4</v>
      </c>
      <c r="W553" s="19" t="s">
        <v>1539</v>
      </c>
      <c r="X553" s="19" t="s">
        <v>730</v>
      </c>
      <c r="Y553" s="12">
        <v>43177</v>
      </c>
      <c r="Z553" s="12">
        <v>43171</v>
      </c>
      <c r="AA553" s="12">
        <v>43177</v>
      </c>
    </row>
    <row r="554" spans="1:27" x14ac:dyDescent="0.25">
      <c r="A554">
        <v>550</v>
      </c>
      <c r="B554" s="19" t="s">
        <v>725</v>
      </c>
      <c r="C554" s="19" t="s">
        <v>726</v>
      </c>
      <c r="D554" s="19" t="s">
        <v>727</v>
      </c>
      <c r="E554" s="19" t="s">
        <v>102</v>
      </c>
      <c r="F554" s="19" t="s">
        <v>753</v>
      </c>
      <c r="G554" s="12">
        <v>43160</v>
      </c>
      <c r="H554" s="12">
        <v>43179</v>
      </c>
      <c r="J554" s="12">
        <v>43167</v>
      </c>
      <c r="K554" t="b">
        <v>1</v>
      </c>
      <c r="L554" s="12"/>
      <c r="M554" t="b">
        <v>0</v>
      </c>
      <c r="N554">
        <v>1</v>
      </c>
      <c r="O554">
        <v>1</v>
      </c>
      <c r="P554" s="19" t="s">
        <v>754</v>
      </c>
      <c r="Q554" s="19" t="s">
        <v>259</v>
      </c>
      <c r="R554" s="19" t="s">
        <v>121</v>
      </c>
      <c r="S554" s="19" t="s">
        <v>121</v>
      </c>
      <c r="T554" s="16">
        <v>79.900000000000006</v>
      </c>
      <c r="U554" s="16">
        <v>22.19</v>
      </c>
      <c r="V554" s="16">
        <v>102.09</v>
      </c>
      <c r="W554" s="19" t="s">
        <v>1540</v>
      </c>
      <c r="X554" s="19" t="s">
        <v>730</v>
      </c>
      <c r="Y554" s="12">
        <v>43177</v>
      </c>
      <c r="Z554" s="12">
        <v>43171</v>
      </c>
      <c r="AA554" s="12">
        <v>43177</v>
      </c>
    </row>
    <row r="555" spans="1:27" x14ac:dyDescent="0.25">
      <c r="A555">
        <v>551</v>
      </c>
      <c r="B555" s="19" t="s">
        <v>725</v>
      </c>
      <c r="C555" s="19" t="s">
        <v>726</v>
      </c>
      <c r="D555" s="19" t="s">
        <v>727</v>
      </c>
      <c r="E555" s="19" t="s">
        <v>102</v>
      </c>
      <c r="F555" s="19" t="s">
        <v>755</v>
      </c>
      <c r="G555" s="12">
        <v>43161</v>
      </c>
      <c r="H555" s="12">
        <v>43187</v>
      </c>
      <c r="J555" s="12">
        <v>43167</v>
      </c>
      <c r="K555" t="b">
        <v>1</v>
      </c>
      <c r="L555" s="12"/>
      <c r="M555" t="b">
        <v>0</v>
      </c>
      <c r="N555">
        <v>1</v>
      </c>
      <c r="O555">
        <v>1</v>
      </c>
      <c r="P555" s="19" t="s">
        <v>686</v>
      </c>
      <c r="Q555" s="19" t="s">
        <v>259</v>
      </c>
      <c r="R555" s="19" t="s">
        <v>135</v>
      </c>
      <c r="S555" s="19" t="s">
        <v>121</v>
      </c>
      <c r="T555" s="16">
        <v>76.25</v>
      </c>
      <c r="U555" s="16">
        <v>12.66</v>
      </c>
      <c r="V555" s="16">
        <v>88.91</v>
      </c>
      <c r="W555" s="19" t="s">
        <v>1538</v>
      </c>
      <c r="X555" s="19" t="s">
        <v>730</v>
      </c>
      <c r="Y555" s="12">
        <v>43177</v>
      </c>
      <c r="Z555" s="12">
        <v>43171</v>
      </c>
      <c r="AA555" s="12">
        <v>43177</v>
      </c>
    </row>
    <row r="556" spans="1:27" x14ac:dyDescent="0.25">
      <c r="A556">
        <v>552</v>
      </c>
      <c r="B556" s="19" t="s">
        <v>725</v>
      </c>
      <c r="C556" s="19" t="s">
        <v>726</v>
      </c>
      <c r="D556" s="19" t="s">
        <v>727</v>
      </c>
      <c r="E556" s="19" t="s">
        <v>102</v>
      </c>
      <c r="F556" s="19" t="s">
        <v>756</v>
      </c>
      <c r="G556" s="12">
        <v>43162</v>
      </c>
      <c r="H556" s="12">
        <v>43186</v>
      </c>
      <c r="J556" s="12">
        <v>43167</v>
      </c>
      <c r="K556" t="b">
        <v>1</v>
      </c>
      <c r="L556" s="12"/>
      <c r="M556" t="b">
        <v>0</v>
      </c>
      <c r="N556">
        <v>1</v>
      </c>
      <c r="O556">
        <v>1</v>
      </c>
      <c r="P556" s="19" t="s">
        <v>686</v>
      </c>
      <c r="Q556" s="19" t="s">
        <v>259</v>
      </c>
      <c r="R556" s="19" t="s">
        <v>135</v>
      </c>
      <c r="S556" s="19" t="s">
        <v>121</v>
      </c>
      <c r="T556" s="16">
        <v>76.25</v>
      </c>
      <c r="U556" s="16">
        <v>12.66</v>
      </c>
      <c r="V556" s="16">
        <v>88.91</v>
      </c>
      <c r="W556" s="19" t="s">
        <v>1541</v>
      </c>
      <c r="X556" s="19" t="s">
        <v>730</v>
      </c>
      <c r="Y556" s="12">
        <v>43177</v>
      </c>
      <c r="Z556" s="12">
        <v>43171</v>
      </c>
      <c r="AA556" s="12">
        <v>43177</v>
      </c>
    </row>
    <row r="557" spans="1:27" x14ac:dyDescent="0.25">
      <c r="A557">
        <v>553</v>
      </c>
      <c r="B557" s="19" t="s">
        <v>725</v>
      </c>
      <c r="C557" s="19" t="s">
        <v>726</v>
      </c>
      <c r="D557" s="19" t="s">
        <v>727</v>
      </c>
      <c r="E557" s="19" t="s">
        <v>102</v>
      </c>
      <c r="F557" s="19" t="s">
        <v>757</v>
      </c>
      <c r="G557" s="12">
        <v>43161</v>
      </c>
      <c r="H557" s="12">
        <v>43185</v>
      </c>
      <c r="J557" s="12">
        <v>43167</v>
      </c>
      <c r="K557" t="b">
        <v>1</v>
      </c>
      <c r="L557" s="12"/>
      <c r="M557" t="b">
        <v>0</v>
      </c>
      <c r="N557">
        <v>1</v>
      </c>
      <c r="O557">
        <v>1</v>
      </c>
      <c r="P557" s="19" t="s">
        <v>686</v>
      </c>
      <c r="Q557" s="19" t="s">
        <v>259</v>
      </c>
      <c r="R557" s="19" t="s">
        <v>135</v>
      </c>
      <c r="S557" s="19" t="s">
        <v>121</v>
      </c>
      <c r="T557" s="16">
        <v>76.25</v>
      </c>
      <c r="U557" s="16">
        <v>12.66</v>
      </c>
      <c r="V557" s="16">
        <v>88.91</v>
      </c>
      <c r="W557" s="19" t="s">
        <v>1542</v>
      </c>
      <c r="X557" s="19" t="s">
        <v>730</v>
      </c>
      <c r="Y557" s="12">
        <v>43177</v>
      </c>
      <c r="Z557" s="12">
        <v>43171</v>
      </c>
      <c r="AA557" s="12">
        <v>43177</v>
      </c>
    </row>
    <row r="558" spans="1:27" x14ac:dyDescent="0.25">
      <c r="A558">
        <v>554</v>
      </c>
      <c r="B558" s="19" t="s">
        <v>725</v>
      </c>
      <c r="C558" s="19" t="s">
        <v>726</v>
      </c>
      <c r="D558" s="19" t="s">
        <v>727</v>
      </c>
      <c r="E558" s="19" t="s">
        <v>102</v>
      </c>
      <c r="F558" s="19" t="s">
        <v>758</v>
      </c>
      <c r="G558" s="12">
        <v>43161</v>
      </c>
      <c r="H558" s="12">
        <v>43187</v>
      </c>
      <c r="J558" s="12">
        <v>43167</v>
      </c>
      <c r="K558" t="b">
        <v>1</v>
      </c>
      <c r="L558" s="12"/>
      <c r="M558" t="b">
        <v>0</v>
      </c>
      <c r="N558">
        <v>1</v>
      </c>
      <c r="O558">
        <v>1</v>
      </c>
      <c r="P558" s="19" t="s">
        <v>686</v>
      </c>
      <c r="Q558" s="19" t="s">
        <v>259</v>
      </c>
      <c r="R558" s="19" t="s">
        <v>135</v>
      </c>
      <c r="S558" s="19" t="s">
        <v>131</v>
      </c>
      <c r="T558" s="16">
        <v>76.25</v>
      </c>
      <c r="U558" s="16">
        <v>16.97</v>
      </c>
      <c r="V558" s="16">
        <v>93.22</v>
      </c>
      <c r="W558" s="19" t="s">
        <v>1538</v>
      </c>
      <c r="X558" s="19" t="s">
        <v>730</v>
      </c>
      <c r="Y558" s="12">
        <v>43177</v>
      </c>
      <c r="Z558" s="12">
        <v>43171</v>
      </c>
      <c r="AA558" s="12">
        <v>43177</v>
      </c>
    </row>
    <row r="559" spans="1:27" x14ac:dyDescent="0.25">
      <c r="A559">
        <v>555</v>
      </c>
      <c r="B559" s="19" t="s">
        <v>725</v>
      </c>
      <c r="C559" s="19" t="s">
        <v>726</v>
      </c>
      <c r="D559" s="19" t="s">
        <v>727</v>
      </c>
      <c r="E559" s="19" t="s">
        <v>102</v>
      </c>
      <c r="F559" s="19" t="s">
        <v>759</v>
      </c>
      <c r="G559" s="12">
        <v>43160</v>
      </c>
      <c r="H559" s="12">
        <v>43192</v>
      </c>
      <c r="J559" s="12">
        <v>43167</v>
      </c>
      <c r="K559" t="b">
        <v>1</v>
      </c>
      <c r="L559" s="12"/>
      <c r="M559" t="b">
        <v>0</v>
      </c>
      <c r="N559">
        <v>1</v>
      </c>
      <c r="O559">
        <v>1</v>
      </c>
      <c r="P559" s="19" t="s">
        <v>686</v>
      </c>
      <c r="Q559" s="19" t="s">
        <v>259</v>
      </c>
      <c r="R559" s="19" t="s">
        <v>135</v>
      </c>
      <c r="S559" s="19" t="s">
        <v>178</v>
      </c>
      <c r="T559" s="16">
        <v>76.25</v>
      </c>
      <c r="U559" s="16">
        <v>42.56</v>
      </c>
      <c r="V559" s="16">
        <v>118.81</v>
      </c>
      <c r="W559" s="19" t="s">
        <v>1543</v>
      </c>
      <c r="X559" s="19" t="s">
        <v>730</v>
      </c>
      <c r="Y559" s="12">
        <v>43177</v>
      </c>
      <c r="Z559" s="12">
        <v>43171</v>
      </c>
      <c r="AA559" s="12">
        <v>43177</v>
      </c>
    </row>
    <row r="560" spans="1:27" x14ac:dyDescent="0.25">
      <c r="A560">
        <v>556</v>
      </c>
      <c r="B560" s="19" t="s">
        <v>725</v>
      </c>
      <c r="C560" s="19" t="s">
        <v>726</v>
      </c>
      <c r="D560" s="19" t="s">
        <v>727</v>
      </c>
      <c r="E560" s="19" t="s">
        <v>102</v>
      </c>
      <c r="F560" s="19" t="s">
        <v>760</v>
      </c>
      <c r="G560" s="12">
        <v>43161</v>
      </c>
      <c r="H560" s="12">
        <v>43199</v>
      </c>
      <c r="J560" s="12">
        <v>43167</v>
      </c>
      <c r="K560" t="b">
        <v>1</v>
      </c>
      <c r="L560" s="12"/>
      <c r="M560" t="b">
        <v>0</v>
      </c>
      <c r="N560">
        <v>2</v>
      </c>
      <c r="O560">
        <v>1</v>
      </c>
      <c r="P560" s="19" t="s">
        <v>761</v>
      </c>
      <c r="Q560" s="19" t="s">
        <v>259</v>
      </c>
      <c r="R560" s="19" t="s">
        <v>127</v>
      </c>
      <c r="S560" s="19" t="s">
        <v>122</v>
      </c>
      <c r="T560" s="16">
        <v>44</v>
      </c>
      <c r="U560" s="16">
        <v>35.26</v>
      </c>
      <c r="V560" s="16">
        <v>79.260000000000005</v>
      </c>
      <c r="W560" s="19" t="s">
        <v>1544</v>
      </c>
      <c r="X560" s="19" t="s">
        <v>730</v>
      </c>
      <c r="Y560" s="12">
        <v>43177</v>
      </c>
      <c r="Z560" s="12">
        <v>43171</v>
      </c>
      <c r="AA560" s="12">
        <v>43177</v>
      </c>
    </row>
    <row r="561" spans="1:27" x14ac:dyDescent="0.25">
      <c r="A561">
        <v>557</v>
      </c>
      <c r="B561" s="19" t="s">
        <v>725</v>
      </c>
      <c r="C561" s="19" t="s">
        <v>726</v>
      </c>
      <c r="D561" s="19" t="s">
        <v>727</v>
      </c>
      <c r="E561" s="19" t="s">
        <v>102</v>
      </c>
      <c r="F561" s="19" t="s">
        <v>762</v>
      </c>
      <c r="G561" s="12">
        <v>43161</v>
      </c>
      <c r="H561" s="12">
        <v>43182</v>
      </c>
      <c r="J561" s="12">
        <v>43167</v>
      </c>
      <c r="K561" t="b">
        <v>1</v>
      </c>
      <c r="L561" s="12"/>
      <c r="M561" t="b">
        <v>0</v>
      </c>
      <c r="N561">
        <v>1</v>
      </c>
      <c r="O561">
        <v>1</v>
      </c>
      <c r="P561" s="19" t="s">
        <v>763</v>
      </c>
      <c r="Q561" s="19" t="s">
        <v>259</v>
      </c>
      <c r="R561" s="19" t="s">
        <v>133</v>
      </c>
      <c r="S561" s="19" t="s">
        <v>125</v>
      </c>
      <c r="T561" s="16">
        <v>25</v>
      </c>
      <c r="U561" s="16">
        <v>25.63</v>
      </c>
      <c r="V561" s="16">
        <v>50.63</v>
      </c>
      <c r="W561" s="19" t="s">
        <v>1539</v>
      </c>
      <c r="X561" s="19" t="s">
        <v>730</v>
      </c>
      <c r="Y561" s="12">
        <v>43177</v>
      </c>
      <c r="Z561" s="12">
        <v>43171</v>
      </c>
      <c r="AA561" s="12">
        <v>43177</v>
      </c>
    </row>
    <row r="562" spans="1:27" x14ac:dyDescent="0.25">
      <c r="A562">
        <v>558</v>
      </c>
      <c r="B562" s="19" t="s">
        <v>725</v>
      </c>
      <c r="C562" s="19" t="s">
        <v>726</v>
      </c>
      <c r="D562" s="19" t="s">
        <v>727</v>
      </c>
      <c r="E562" s="19" t="s">
        <v>102</v>
      </c>
      <c r="F562" s="19" t="s">
        <v>764</v>
      </c>
      <c r="G562" s="12">
        <v>43164</v>
      </c>
      <c r="H562" s="12">
        <v>43180</v>
      </c>
      <c r="J562" s="12">
        <v>43168</v>
      </c>
      <c r="K562" t="b">
        <v>1</v>
      </c>
      <c r="L562" s="12"/>
      <c r="M562" t="b">
        <v>0</v>
      </c>
      <c r="N562">
        <v>1</v>
      </c>
      <c r="O562">
        <v>1</v>
      </c>
      <c r="P562" s="19" t="s">
        <v>308</v>
      </c>
      <c r="Q562" s="19" t="s">
        <v>259</v>
      </c>
      <c r="R562" s="19" t="s">
        <v>121</v>
      </c>
      <c r="S562" s="19" t="s">
        <v>121</v>
      </c>
      <c r="T562" s="16">
        <v>200</v>
      </c>
      <c r="U562" s="16">
        <v>13.74</v>
      </c>
      <c r="V562" s="16">
        <v>213.74</v>
      </c>
      <c r="W562" s="19" t="s">
        <v>1545</v>
      </c>
      <c r="X562" s="19" t="s">
        <v>730</v>
      </c>
      <c r="Y562" s="12">
        <v>43177</v>
      </c>
      <c r="Z562" s="12">
        <v>43171</v>
      </c>
      <c r="AA562" s="12">
        <v>43177</v>
      </c>
    </row>
    <row r="563" spans="1:27" x14ac:dyDescent="0.25">
      <c r="A563">
        <v>559</v>
      </c>
      <c r="B563" s="19" t="s">
        <v>725</v>
      </c>
      <c r="C563" s="19" t="s">
        <v>726</v>
      </c>
      <c r="D563" s="19" t="s">
        <v>727</v>
      </c>
      <c r="E563" s="19" t="s">
        <v>102</v>
      </c>
      <c r="F563" s="19" t="s">
        <v>765</v>
      </c>
      <c r="G563" s="12">
        <v>43164</v>
      </c>
      <c r="H563" s="12">
        <v>43188</v>
      </c>
      <c r="J563" s="12">
        <v>43168</v>
      </c>
      <c r="K563" t="b">
        <v>1</v>
      </c>
      <c r="L563" s="12"/>
      <c r="M563" t="b">
        <v>0</v>
      </c>
      <c r="N563">
        <v>1</v>
      </c>
      <c r="O563">
        <v>1</v>
      </c>
      <c r="P563" s="19" t="s">
        <v>686</v>
      </c>
      <c r="Q563" s="19" t="s">
        <v>259</v>
      </c>
      <c r="R563" s="19" t="s">
        <v>135</v>
      </c>
      <c r="S563" s="19" t="s">
        <v>121</v>
      </c>
      <c r="T563" s="16">
        <v>149.9</v>
      </c>
      <c r="U563" s="16">
        <v>14.17</v>
      </c>
      <c r="V563" s="16">
        <v>164.07</v>
      </c>
      <c r="W563" s="19" t="s">
        <v>1546</v>
      </c>
      <c r="X563" s="19" t="s">
        <v>730</v>
      </c>
      <c r="Y563" s="12">
        <v>43177</v>
      </c>
      <c r="Z563" s="12">
        <v>43171</v>
      </c>
      <c r="AA563" s="12">
        <v>43177</v>
      </c>
    </row>
    <row r="564" spans="1:27" x14ac:dyDescent="0.25">
      <c r="A564">
        <v>560</v>
      </c>
      <c r="B564" s="19" t="s">
        <v>725</v>
      </c>
      <c r="C564" s="19" t="s">
        <v>726</v>
      </c>
      <c r="D564" s="19" t="s">
        <v>727</v>
      </c>
      <c r="E564" s="19" t="s">
        <v>102</v>
      </c>
      <c r="F564" s="19" t="s">
        <v>766</v>
      </c>
      <c r="G564" s="12">
        <v>43164</v>
      </c>
      <c r="H564" s="12">
        <v>43186</v>
      </c>
      <c r="J564" s="12">
        <v>43168</v>
      </c>
      <c r="K564" t="b">
        <v>1</v>
      </c>
      <c r="L564" s="12"/>
      <c r="M564" t="b">
        <v>0</v>
      </c>
      <c r="N564">
        <v>1</v>
      </c>
      <c r="O564">
        <v>1</v>
      </c>
      <c r="P564" s="19" t="s">
        <v>686</v>
      </c>
      <c r="Q564" s="19" t="s">
        <v>259</v>
      </c>
      <c r="R564" s="19" t="s">
        <v>135</v>
      </c>
      <c r="S564" s="19" t="s">
        <v>121</v>
      </c>
      <c r="T564" s="16">
        <v>149.9</v>
      </c>
      <c r="U564" s="16">
        <v>13.18</v>
      </c>
      <c r="V564" s="16">
        <v>163.08000000000001</v>
      </c>
      <c r="W564" s="19" t="s">
        <v>1547</v>
      </c>
      <c r="X564" s="19" t="s">
        <v>730</v>
      </c>
      <c r="Y564" s="12">
        <v>43177</v>
      </c>
      <c r="Z564" s="12">
        <v>43171</v>
      </c>
      <c r="AA564" s="12">
        <v>43177</v>
      </c>
    </row>
    <row r="565" spans="1:27" x14ac:dyDescent="0.25">
      <c r="A565">
        <v>561</v>
      </c>
      <c r="B565" s="19" t="s">
        <v>725</v>
      </c>
      <c r="C565" s="19" t="s">
        <v>726</v>
      </c>
      <c r="D565" s="19" t="s">
        <v>727</v>
      </c>
      <c r="E565" s="19" t="s">
        <v>102</v>
      </c>
      <c r="F565" s="19" t="s">
        <v>767</v>
      </c>
      <c r="G565" s="12">
        <v>43164</v>
      </c>
      <c r="H565" s="12">
        <v>43192</v>
      </c>
      <c r="J565" s="12">
        <v>43168</v>
      </c>
      <c r="K565" t="b">
        <v>1</v>
      </c>
      <c r="L565" s="12"/>
      <c r="M565" t="b">
        <v>0</v>
      </c>
      <c r="N565">
        <v>1</v>
      </c>
      <c r="O565">
        <v>1</v>
      </c>
      <c r="P565" s="19" t="s">
        <v>751</v>
      </c>
      <c r="Q565" s="19" t="s">
        <v>259</v>
      </c>
      <c r="R565" s="19" t="s">
        <v>121</v>
      </c>
      <c r="S565" s="19" t="s">
        <v>131</v>
      </c>
      <c r="T565" s="16">
        <v>109.9</v>
      </c>
      <c r="U565" s="16">
        <v>18.350000000000001</v>
      </c>
      <c r="V565" s="16">
        <v>128.25</v>
      </c>
      <c r="W565" s="19" t="s">
        <v>1548</v>
      </c>
      <c r="X565" s="19" t="s">
        <v>730</v>
      </c>
      <c r="Y565" s="12">
        <v>43177</v>
      </c>
      <c r="Z565" s="12">
        <v>43171</v>
      </c>
      <c r="AA565" s="12">
        <v>43177</v>
      </c>
    </row>
    <row r="566" spans="1:27" x14ac:dyDescent="0.25">
      <c r="A566">
        <v>562</v>
      </c>
      <c r="B566" s="19" t="s">
        <v>725</v>
      </c>
      <c r="C566" s="19" t="s">
        <v>726</v>
      </c>
      <c r="D566" s="19" t="s">
        <v>727</v>
      </c>
      <c r="E566" s="19" t="s">
        <v>102</v>
      </c>
      <c r="F566" s="19" t="s">
        <v>768</v>
      </c>
      <c r="G566" s="12">
        <v>43164</v>
      </c>
      <c r="H566" s="12">
        <v>43186</v>
      </c>
      <c r="J566" s="12">
        <v>43170</v>
      </c>
      <c r="K566" t="b">
        <v>1</v>
      </c>
      <c r="L566" s="12"/>
      <c r="M566" t="b">
        <v>0</v>
      </c>
      <c r="N566">
        <v>3</v>
      </c>
      <c r="O566">
        <v>1</v>
      </c>
      <c r="P566" s="19" t="s">
        <v>686</v>
      </c>
      <c r="Q566" s="19" t="s">
        <v>259</v>
      </c>
      <c r="R566" s="19" t="s">
        <v>135</v>
      </c>
      <c r="S566" s="19" t="s">
        <v>121</v>
      </c>
      <c r="T566" s="16">
        <v>449.7</v>
      </c>
      <c r="U566" s="16">
        <v>42.51</v>
      </c>
      <c r="V566" s="16">
        <v>492.21</v>
      </c>
      <c r="W566" s="19" t="s">
        <v>1549</v>
      </c>
      <c r="X566" s="19" t="s">
        <v>730</v>
      </c>
      <c r="Y566" s="12">
        <v>43177</v>
      </c>
      <c r="Z566" s="12">
        <v>43171</v>
      </c>
      <c r="AA566" s="12">
        <v>43177</v>
      </c>
    </row>
    <row r="567" spans="1:27" x14ac:dyDescent="0.25">
      <c r="A567">
        <v>563</v>
      </c>
      <c r="B567" s="19" t="s">
        <v>725</v>
      </c>
      <c r="C567" s="19" t="s">
        <v>726</v>
      </c>
      <c r="D567" s="19" t="s">
        <v>727</v>
      </c>
      <c r="E567" s="19" t="s">
        <v>102</v>
      </c>
      <c r="F567" s="19" t="s">
        <v>1550</v>
      </c>
      <c r="G567" s="12">
        <v>43165</v>
      </c>
      <c r="H567" s="12">
        <v>43192</v>
      </c>
      <c r="J567" s="12">
        <v>43171</v>
      </c>
      <c r="K567" t="b">
        <v>1</v>
      </c>
      <c r="L567" s="12"/>
      <c r="M567" t="b">
        <v>0</v>
      </c>
      <c r="N567">
        <v>1</v>
      </c>
      <c r="O567">
        <v>1</v>
      </c>
      <c r="P567" s="19" t="s">
        <v>707</v>
      </c>
      <c r="Q567" s="19" t="s">
        <v>259</v>
      </c>
      <c r="R567" s="19" t="s">
        <v>135</v>
      </c>
      <c r="S567" s="19" t="s">
        <v>131</v>
      </c>
      <c r="T567" s="16">
        <v>669</v>
      </c>
      <c r="U567" s="16">
        <v>27.61</v>
      </c>
      <c r="V567" s="16">
        <v>696.61</v>
      </c>
      <c r="W567" s="19" t="s">
        <v>1551</v>
      </c>
      <c r="X567" s="19" t="s">
        <v>730</v>
      </c>
      <c r="Y567" s="12">
        <v>43177</v>
      </c>
      <c r="Z567" s="12">
        <v>43171</v>
      </c>
      <c r="AA567" s="12">
        <v>43177</v>
      </c>
    </row>
    <row r="568" spans="1:27" x14ac:dyDescent="0.25">
      <c r="A568">
        <v>564</v>
      </c>
      <c r="B568" s="19" t="s">
        <v>725</v>
      </c>
      <c r="C568" s="19" t="s">
        <v>726</v>
      </c>
      <c r="D568" s="19" t="s">
        <v>727</v>
      </c>
      <c r="E568" s="19" t="s">
        <v>102</v>
      </c>
      <c r="F568" s="19" t="s">
        <v>1552</v>
      </c>
      <c r="G568" s="12">
        <v>43161</v>
      </c>
      <c r="H568" s="12">
        <v>43187</v>
      </c>
      <c r="J568" s="12">
        <v>43171</v>
      </c>
      <c r="K568" t="b">
        <v>1</v>
      </c>
      <c r="L568" s="12"/>
      <c r="M568" t="b">
        <v>0</v>
      </c>
      <c r="N568">
        <v>5</v>
      </c>
      <c r="O568">
        <v>1</v>
      </c>
      <c r="P568" s="19" t="s">
        <v>1062</v>
      </c>
      <c r="Q568" s="19" t="s">
        <v>259</v>
      </c>
      <c r="R568" s="19" t="s">
        <v>125</v>
      </c>
      <c r="S568" s="19" t="s">
        <v>122</v>
      </c>
      <c r="T568" s="16">
        <v>329.5</v>
      </c>
      <c r="U568" s="16">
        <v>84.5</v>
      </c>
      <c r="V568" s="16">
        <v>414</v>
      </c>
      <c r="W568" s="19" t="s">
        <v>1553</v>
      </c>
      <c r="X568" s="19" t="s">
        <v>730</v>
      </c>
      <c r="Y568" s="12">
        <v>43177</v>
      </c>
      <c r="Z568" s="12">
        <v>43171</v>
      </c>
      <c r="AA568" s="12">
        <v>43177</v>
      </c>
    </row>
    <row r="569" spans="1:27" x14ac:dyDescent="0.25">
      <c r="A569">
        <v>565</v>
      </c>
      <c r="B569" s="19" t="s">
        <v>725</v>
      </c>
      <c r="C569" s="19" t="s">
        <v>726</v>
      </c>
      <c r="D569" s="19" t="s">
        <v>727</v>
      </c>
      <c r="E569" s="19" t="s">
        <v>102</v>
      </c>
      <c r="F569" s="19" t="s">
        <v>1554</v>
      </c>
      <c r="G569" s="12">
        <v>43165</v>
      </c>
      <c r="H569" s="12">
        <v>43192</v>
      </c>
      <c r="J569" s="12">
        <v>43171</v>
      </c>
      <c r="K569" t="b">
        <v>1</v>
      </c>
      <c r="L569" s="12"/>
      <c r="M569" t="b">
        <v>0</v>
      </c>
      <c r="N569">
        <v>1</v>
      </c>
      <c r="O569">
        <v>1</v>
      </c>
      <c r="P569" s="19" t="s">
        <v>686</v>
      </c>
      <c r="Q569" s="19" t="s">
        <v>259</v>
      </c>
      <c r="R569" s="19" t="s">
        <v>135</v>
      </c>
      <c r="S569" s="19" t="s">
        <v>121</v>
      </c>
      <c r="T569" s="16">
        <v>149.9</v>
      </c>
      <c r="U569" s="16">
        <v>14.17</v>
      </c>
      <c r="V569" s="16">
        <v>164.07</v>
      </c>
      <c r="W569" s="19" t="s">
        <v>1551</v>
      </c>
      <c r="X569" s="19" t="s">
        <v>730</v>
      </c>
      <c r="Y569" s="12">
        <v>43177</v>
      </c>
      <c r="Z569" s="12">
        <v>43171</v>
      </c>
      <c r="AA569" s="12">
        <v>43177</v>
      </c>
    </row>
    <row r="570" spans="1:27" x14ac:dyDescent="0.25">
      <c r="A570">
        <v>566</v>
      </c>
      <c r="B570" s="19" t="s">
        <v>725</v>
      </c>
      <c r="C570" s="19" t="s">
        <v>726</v>
      </c>
      <c r="D570" s="19" t="s">
        <v>727</v>
      </c>
      <c r="E570" s="19" t="s">
        <v>102</v>
      </c>
      <c r="F570" s="19" t="s">
        <v>1555</v>
      </c>
      <c r="G570" s="12">
        <v>43161</v>
      </c>
      <c r="H570" s="12">
        <v>43179</v>
      </c>
      <c r="J570" s="12">
        <v>43171</v>
      </c>
      <c r="K570" t="b">
        <v>1</v>
      </c>
      <c r="L570" s="12"/>
      <c r="M570" t="b">
        <v>0</v>
      </c>
      <c r="N570">
        <v>1</v>
      </c>
      <c r="O570">
        <v>1</v>
      </c>
      <c r="P570" s="19" t="s">
        <v>686</v>
      </c>
      <c r="Q570" s="19" t="s">
        <v>259</v>
      </c>
      <c r="R570" s="19" t="s">
        <v>135</v>
      </c>
      <c r="S570" s="19" t="s">
        <v>135</v>
      </c>
      <c r="T570" s="16">
        <v>149.9</v>
      </c>
      <c r="U570" s="16">
        <v>13.18</v>
      </c>
      <c r="V570" s="16">
        <v>163.08000000000001</v>
      </c>
      <c r="W570" s="19" t="s">
        <v>1556</v>
      </c>
      <c r="X570" s="19" t="s">
        <v>730</v>
      </c>
      <c r="Y570" s="12">
        <v>43177</v>
      </c>
      <c r="Z570" s="12">
        <v>43171</v>
      </c>
      <c r="AA570" s="12">
        <v>43177</v>
      </c>
    </row>
    <row r="571" spans="1:27" x14ac:dyDescent="0.25">
      <c r="A571">
        <v>567</v>
      </c>
      <c r="B571" s="19" t="s">
        <v>725</v>
      </c>
      <c r="C571" s="19" t="s">
        <v>726</v>
      </c>
      <c r="D571" s="19" t="s">
        <v>727</v>
      </c>
      <c r="E571" s="19" t="s">
        <v>102</v>
      </c>
      <c r="F571" s="19" t="s">
        <v>1557</v>
      </c>
      <c r="G571" s="12">
        <v>43162</v>
      </c>
      <c r="H571" s="12">
        <v>43186</v>
      </c>
      <c r="J571" s="12">
        <v>43171</v>
      </c>
      <c r="K571" t="b">
        <v>1</v>
      </c>
      <c r="L571" s="12"/>
      <c r="M571" t="b">
        <v>0</v>
      </c>
      <c r="N571">
        <v>1</v>
      </c>
      <c r="O571">
        <v>1</v>
      </c>
      <c r="P571" s="19" t="s">
        <v>686</v>
      </c>
      <c r="Q571" s="19" t="s">
        <v>259</v>
      </c>
      <c r="R571" s="19" t="s">
        <v>135</v>
      </c>
      <c r="S571" s="19" t="s">
        <v>138</v>
      </c>
      <c r="T571" s="16">
        <v>149.9</v>
      </c>
      <c r="U571" s="16">
        <v>15.8</v>
      </c>
      <c r="V571" s="16">
        <v>165.7</v>
      </c>
      <c r="W571" s="19" t="s">
        <v>1558</v>
      </c>
      <c r="X571" s="19" t="s">
        <v>730</v>
      </c>
      <c r="Y571" s="12">
        <v>43177</v>
      </c>
      <c r="Z571" s="12">
        <v>43171</v>
      </c>
      <c r="AA571" s="12">
        <v>43177</v>
      </c>
    </row>
    <row r="572" spans="1:27" x14ac:dyDescent="0.25">
      <c r="A572">
        <v>568</v>
      </c>
      <c r="B572" s="19" t="s">
        <v>725</v>
      </c>
      <c r="C572" s="19" t="s">
        <v>726</v>
      </c>
      <c r="D572" s="19" t="s">
        <v>727</v>
      </c>
      <c r="E572" s="19" t="s">
        <v>102</v>
      </c>
      <c r="F572" s="19" t="s">
        <v>1559</v>
      </c>
      <c r="G572" s="12">
        <v>43161</v>
      </c>
      <c r="H572" s="12">
        <v>43182</v>
      </c>
      <c r="J572" s="12">
        <v>43171</v>
      </c>
      <c r="K572" t="b">
        <v>1</v>
      </c>
      <c r="L572" s="12"/>
      <c r="M572" t="b">
        <v>0</v>
      </c>
      <c r="N572">
        <v>1</v>
      </c>
      <c r="O572">
        <v>1</v>
      </c>
      <c r="P572" s="19" t="s">
        <v>1560</v>
      </c>
      <c r="Q572" s="19" t="s">
        <v>259</v>
      </c>
      <c r="R572" s="19" t="s">
        <v>131</v>
      </c>
      <c r="S572" s="19" t="s">
        <v>131</v>
      </c>
      <c r="T572" s="16">
        <v>120</v>
      </c>
      <c r="U572" s="16">
        <v>12.97</v>
      </c>
      <c r="V572" s="16">
        <v>132.97</v>
      </c>
      <c r="W572" s="19" t="s">
        <v>1561</v>
      </c>
      <c r="X572" s="19" t="s">
        <v>730</v>
      </c>
      <c r="Y572" s="12">
        <v>43177</v>
      </c>
      <c r="Z572" s="12">
        <v>43171</v>
      </c>
      <c r="AA572" s="12">
        <v>43177</v>
      </c>
    </row>
    <row r="573" spans="1:27" x14ac:dyDescent="0.25">
      <c r="A573">
        <v>569</v>
      </c>
      <c r="B573" s="19" t="s">
        <v>725</v>
      </c>
      <c r="C573" s="19" t="s">
        <v>726</v>
      </c>
      <c r="D573" s="19" t="s">
        <v>727</v>
      </c>
      <c r="E573" s="19" t="s">
        <v>102</v>
      </c>
      <c r="F573" s="19" t="s">
        <v>1562</v>
      </c>
      <c r="G573" s="12">
        <v>43157</v>
      </c>
      <c r="H573" s="12">
        <v>43185</v>
      </c>
      <c r="J573" s="12">
        <v>43171</v>
      </c>
      <c r="K573" t="b">
        <v>1</v>
      </c>
      <c r="L573" s="12"/>
      <c r="M573" t="b">
        <v>0</v>
      </c>
      <c r="N573">
        <v>1</v>
      </c>
      <c r="O573">
        <v>1</v>
      </c>
      <c r="P573" s="19" t="s">
        <v>743</v>
      </c>
      <c r="Q573" s="19" t="s">
        <v>259</v>
      </c>
      <c r="R573" s="19" t="s">
        <v>131</v>
      </c>
      <c r="S573" s="19" t="s">
        <v>121</v>
      </c>
      <c r="T573" s="16">
        <v>31.9</v>
      </c>
      <c r="U573" s="16">
        <v>14.1</v>
      </c>
      <c r="V573" s="16">
        <v>46</v>
      </c>
      <c r="W573" s="19" t="s">
        <v>1563</v>
      </c>
      <c r="X573" s="19" t="s">
        <v>730</v>
      </c>
      <c r="Y573" s="12">
        <v>43177</v>
      </c>
      <c r="Z573" s="12">
        <v>43171</v>
      </c>
      <c r="AA573" s="12">
        <v>43177</v>
      </c>
    </row>
    <row r="574" spans="1:27" x14ac:dyDescent="0.25">
      <c r="A574">
        <v>570</v>
      </c>
      <c r="B574" s="19" t="s">
        <v>725</v>
      </c>
      <c r="C574" s="19" t="s">
        <v>726</v>
      </c>
      <c r="D574" s="19" t="s">
        <v>727</v>
      </c>
      <c r="E574" s="19" t="s">
        <v>102</v>
      </c>
      <c r="F574" s="19" t="s">
        <v>1564</v>
      </c>
      <c r="G574" s="12">
        <v>43164</v>
      </c>
      <c r="H574" s="12">
        <v>43178</v>
      </c>
      <c r="J574" s="12">
        <v>43172</v>
      </c>
      <c r="K574" t="b">
        <v>1</v>
      </c>
      <c r="L574" s="12"/>
      <c r="M574" t="b">
        <v>0</v>
      </c>
      <c r="N574">
        <v>1</v>
      </c>
      <c r="O574">
        <v>1</v>
      </c>
      <c r="P574" s="19" t="s">
        <v>1369</v>
      </c>
      <c r="Q574" s="19" t="s">
        <v>259</v>
      </c>
      <c r="R574" s="19" t="s">
        <v>121</v>
      </c>
      <c r="S574" s="19" t="s">
        <v>121</v>
      </c>
      <c r="T574" s="16">
        <v>81</v>
      </c>
      <c r="U574" s="16">
        <v>9.3800000000000008</v>
      </c>
      <c r="V574" s="16">
        <v>90.38</v>
      </c>
      <c r="W574" s="19" t="s">
        <v>1565</v>
      </c>
      <c r="X574" s="19" t="s">
        <v>730</v>
      </c>
      <c r="Y574" s="12">
        <v>43177</v>
      </c>
      <c r="Z574" s="12">
        <v>43171</v>
      </c>
      <c r="AA574" s="12">
        <v>43177</v>
      </c>
    </row>
    <row r="575" spans="1:27" x14ac:dyDescent="0.25">
      <c r="A575">
        <v>571</v>
      </c>
      <c r="B575" s="19" t="s">
        <v>725</v>
      </c>
      <c r="C575" s="19" t="s">
        <v>726</v>
      </c>
      <c r="D575" s="19" t="s">
        <v>727</v>
      </c>
      <c r="E575" s="19" t="s">
        <v>102</v>
      </c>
      <c r="F575" s="19" t="s">
        <v>1566</v>
      </c>
      <c r="G575" s="12">
        <v>43164</v>
      </c>
      <c r="H575" s="12">
        <v>43185</v>
      </c>
      <c r="J575" s="12">
        <v>43172</v>
      </c>
      <c r="K575" t="b">
        <v>1</v>
      </c>
      <c r="L575" s="12"/>
      <c r="M575" t="b">
        <v>0</v>
      </c>
      <c r="N575">
        <v>1</v>
      </c>
      <c r="O575">
        <v>1</v>
      </c>
      <c r="P575" s="19" t="s">
        <v>516</v>
      </c>
      <c r="Q575" s="19" t="s">
        <v>259</v>
      </c>
      <c r="R575" s="19" t="s">
        <v>121</v>
      </c>
      <c r="S575" s="19" t="s">
        <v>131</v>
      </c>
      <c r="T575" s="16">
        <v>63.9</v>
      </c>
      <c r="U575" s="16">
        <v>17.7</v>
      </c>
      <c r="V575" s="16">
        <v>81.599999999999994</v>
      </c>
      <c r="W575" s="19" t="s">
        <v>1567</v>
      </c>
      <c r="X575" s="19" t="s">
        <v>730</v>
      </c>
      <c r="Y575" s="12">
        <v>43177</v>
      </c>
      <c r="Z575" s="12">
        <v>43171</v>
      </c>
      <c r="AA575" s="12">
        <v>43177</v>
      </c>
    </row>
    <row r="576" spans="1:27" x14ac:dyDescent="0.25">
      <c r="A576">
        <v>572</v>
      </c>
      <c r="B576" s="19" t="s">
        <v>725</v>
      </c>
      <c r="C576" s="19" t="s">
        <v>726</v>
      </c>
      <c r="D576" s="19" t="s">
        <v>727</v>
      </c>
      <c r="E576" s="19" t="s">
        <v>102</v>
      </c>
      <c r="F576" s="19" t="s">
        <v>1568</v>
      </c>
      <c r="G576" s="12">
        <v>43164</v>
      </c>
      <c r="H576" s="12">
        <v>43195</v>
      </c>
      <c r="J576" s="12">
        <v>43172</v>
      </c>
      <c r="K576" t="b">
        <v>1</v>
      </c>
      <c r="L576" s="12"/>
      <c r="M576" t="b">
        <v>0</v>
      </c>
      <c r="N576">
        <v>2</v>
      </c>
      <c r="O576">
        <v>1</v>
      </c>
      <c r="P576" s="19" t="s">
        <v>761</v>
      </c>
      <c r="Q576" s="19" t="s">
        <v>259</v>
      </c>
      <c r="R576" s="19" t="s">
        <v>127</v>
      </c>
      <c r="S576" s="19" t="s">
        <v>121</v>
      </c>
      <c r="T576" s="16">
        <v>44</v>
      </c>
      <c r="U576" s="16">
        <v>19.96</v>
      </c>
      <c r="V576" s="16">
        <v>63.95</v>
      </c>
      <c r="W576" s="19" t="s">
        <v>1569</v>
      </c>
      <c r="X576" s="19" t="s">
        <v>730</v>
      </c>
      <c r="Y576" s="12">
        <v>43177</v>
      </c>
      <c r="Z576" s="12">
        <v>43171</v>
      </c>
      <c r="AA576" s="12">
        <v>43177</v>
      </c>
    </row>
    <row r="577" spans="1:27" x14ac:dyDescent="0.25">
      <c r="A577">
        <v>573</v>
      </c>
      <c r="B577" s="19" t="s">
        <v>725</v>
      </c>
      <c r="C577" s="19" t="s">
        <v>726</v>
      </c>
      <c r="D577" s="19" t="s">
        <v>727</v>
      </c>
      <c r="E577" s="19" t="s">
        <v>102</v>
      </c>
      <c r="F577" s="19" t="s">
        <v>1570</v>
      </c>
      <c r="G577" s="12">
        <v>43165</v>
      </c>
      <c r="H577" s="12">
        <v>43186</v>
      </c>
      <c r="J577" s="12">
        <v>43172</v>
      </c>
      <c r="K577" t="b">
        <v>1</v>
      </c>
      <c r="L577" s="12"/>
      <c r="M577" t="b">
        <v>0</v>
      </c>
      <c r="N577">
        <v>1</v>
      </c>
      <c r="O577">
        <v>1</v>
      </c>
      <c r="P577" s="19" t="s">
        <v>1571</v>
      </c>
      <c r="Q577" s="19" t="s">
        <v>259</v>
      </c>
      <c r="R577" s="19" t="s">
        <v>135</v>
      </c>
      <c r="S577" s="19" t="s">
        <v>138</v>
      </c>
      <c r="T577" s="16">
        <v>29.9</v>
      </c>
      <c r="U577" s="16">
        <v>15.23</v>
      </c>
      <c r="V577" s="16">
        <v>45.13</v>
      </c>
      <c r="W577" s="19" t="s">
        <v>1572</v>
      </c>
      <c r="X577" s="19" t="s">
        <v>730</v>
      </c>
      <c r="Y577" s="12">
        <v>43177</v>
      </c>
      <c r="Z577" s="12">
        <v>43171</v>
      </c>
      <c r="AA577" s="12">
        <v>43177</v>
      </c>
    </row>
    <row r="578" spans="1:27" x14ac:dyDescent="0.25">
      <c r="A578">
        <v>574</v>
      </c>
      <c r="B578" s="19" t="s">
        <v>725</v>
      </c>
      <c r="C578" s="19" t="s">
        <v>726</v>
      </c>
      <c r="D578" s="19" t="s">
        <v>727</v>
      </c>
      <c r="E578" s="19" t="s">
        <v>102</v>
      </c>
      <c r="F578" s="19" t="s">
        <v>1573</v>
      </c>
      <c r="G578" s="12">
        <v>43164</v>
      </c>
      <c r="H578" s="12">
        <v>43187</v>
      </c>
      <c r="J578" s="12">
        <v>43173</v>
      </c>
      <c r="K578" t="b">
        <v>1</v>
      </c>
      <c r="L578" s="12"/>
      <c r="M578" t="b">
        <v>0</v>
      </c>
      <c r="N578">
        <v>1</v>
      </c>
      <c r="O578">
        <v>1</v>
      </c>
      <c r="P578" s="19" t="s">
        <v>1574</v>
      </c>
      <c r="Q578" s="19" t="s">
        <v>259</v>
      </c>
      <c r="R578" s="19" t="s">
        <v>122</v>
      </c>
      <c r="S578" s="19" t="s">
        <v>138</v>
      </c>
      <c r="T578" s="16">
        <v>499</v>
      </c>
      <c r="U578" s="16">
        <v>19.93</v>
      </c>
      <c r="V578" s="16">
        <v>518.92999999999995</v>
      </c>
      <c r="W578" s="19" t="s">
        <v>1575</v>
      </c>
      <c r="X578" s="19" t="s">
        <v>730</v>
      </c>
      <c r="Y578" s="12">
        <v>43177</v>
      </c>
      <c r="Z578" s="12">
        <v>43171</v>
      </c>
      <c r="AA578" s="12">
        <v>43177</v>
      </c>
    </row>
    <row r="579" spans="1:27" x14ac:dyDescent="0.25">
      <c r="A579">
        <v>575</v>
      </c>
      <c r="B579" s="19" t="s">
        <v>725</v>
      </c>
      <c r="C579" s="19" t="s">
        <v>726</v>
      </c>
      <c r="D579" s="19" t="s">
        <v>727</v>
      </c>
      <c r="E579" s="19" t="s">
        <v>102</v>
      </c>
      <c r="F579" s="19" t="s">
        <v>1576</v>
      </c>
      <c r="G579" s="12">
        <v>43167</v>
      </c>
      <c r="H579" s="12">
        <v>43194</v>
      </c>
      <c r="J579" s="12">
        <v>43173</v>
      </c>
      <c r="K579" t="b">
        <v>1</v>
      </c>
      <c r="L579" s="12"/>
      <c r="M579" t="b">
        <v>0</v>
      </c>
      <c r="N579">
        <v>1</v>
      </c>
      <c r="O579">
        <v>1</v>
      </c>
      <c r="P579" s="19" t="s">
        <v>603</v>
      </c>
      <c r="Q579" s="19" t="s">
        <v>259</v>
      </c>
      <c r="R579" s="19" t="s">
        <v>135</v>
      </c>
      <c r="S579" s="19" t="s">
        <v>131</v>
      </c>
      <c r="T579" s="16">
        <v>299</v>
      </c>
      <c r="U579" s="16">
        <v>25.72</v>
      </c>
      <c r="V579" s="16">
        <v>324.72000000000003</v>
      </c>
      <c r="W579" s="19" t="s">
        <v>1577</v>
      </c>
      <c r="X579" s="19" t="s">
        <v>730</v>
      </c>
      <c r="Y579" s="12">
        <v>43177</v>
      </c>
      <c r="Z579" s="12">
        <v>43171</v>
      </c>
      <c r="AA579" s="12">
        <v>43177</v>
      </c>
    </row>
    <row r="580" spans="1:27" x14ac:dyDescent="0.25">
      <c r="A580">
        <v>576</v>
      </c>
      <c r="B580" s="19" t="s">
        <v>725</v>
      </c>
      <c r="C580" s="19" t="s">
        <v>726</v>
      </c>
      <c r="D580" s="19" t="s">
        <v>727</v>
      </c>
      <c r="E580" s="19" t="s">
        <v>102</v>
      </c>
      <c r="F580" s="19" t="s">
        <v>1578</v>
      </c>
      <c r="G580" s="12">
        <v>43165</v>
      </c>
      <c r="H580" s="12">
        <v>43185</v>
      </c>
      <c r="J580" s="12">
        <v>43173</v>
      </c>
      <c r="K580" t="b">
        <v>1</v>
      </c>
      <c r="L580" s="12"/>
      <c r="M580" t="b">
        <v>0</v>
      </c>
      <c r="N580">
        <v>1</v>
      </c>
      <c r="O580">
        <v>1</v>
      </c>
      <c r="P580" s="19" t="s">
        <v>670</v>
      </c>
      <c r="Q580" s="19" t="s">
        <v>259</v>
      </c>
      <c r="R580" s="19" t="s">
        <v>121</v>
      </c>
      <c r="S580" s="19" t="s">
        <v>131</v>
      </c>
      <c r="T580" s="16">
        <v>89.9</v>
      </c>
      <c r="U580" s="16">
        <v>23.21</v>
      </c>
      <c r="V580" s="16">
        <v>113.11</v>
      </c>
      <c r="W580" s="19" t="s">
        <v>1579</v>
      </c>
      <c r="X580" s="19" t="s">
        <v>730</v>
      </c>
      <c r="Y580" s="12">
        <v>43177</v>
      </c>
      <c r="Z580" s="12">
        <v>43171</v>
      </c>
      <c r="AA580" s="12">
        <v>43177</v>
      </c>
    </row>
    <row r="581" spans="1:27" x14ac:dyDescent="0.25">
      <c r="A581">
        <v>577</v>
      </c>
      <c r="B581" s="19" t="s">
        <v>725</v>
      </c>
      <c r="C581" s="19" t="s">
        <v>726</v>
      </c>
      <c r="D581" s="19" t="s">
        <v>727</v>
      </c>
      <c r="E581" s="19" t="s">
        <v>102</v>
      </c>
      <c r="F581" s="19" t="s">
        <v>1580</v>
      </c>
      <c r="G581" s="12">
        <v>43157</v>
      </c>
      <c r="H581" s="12">
        <v>43195</v>
      </c>
      <c r="J581" s="12">
        <v>43173</v>
      </c>
      <c r="K581" t="b">
        <v>1</v>
      </c>
      <c r="L581" s="12"/>
      <c r="M581" t="b">
        <v>0</v>
      </c>
      <c r="N581">
        <v>2</v>
      </c>
      <c r="O581">
        <v>1</v>
      </c>
      <c r="P581" s="19" t="s">
        <v>743</v>
      </c>
      <c r="Q581" s="19" t="s">
        <v>259</v>
      </c>
      <c r="R581" s="19" t="s">
        <v>131</v>
      </c>
      <c r="S581" s="19" t="s">
        <v>178</v>
      </c>
      <c r="T581" s="16">
        <v>63.8</v>
      </c>
      <c r="U581" s="16">
        <v>68.3</v>
      </c>
      <c r="V581" s="16">
        <v>132.1</v>
      </c>
      <c r="W581" s="19" t="s">
        <v>1581</v>
      </c>
      <c r="X581" s="19" t="s">
        <v>730</v>
      </c>
      <c r="Y581" s="12">
        <v>43177</v>
      </c>
      <c r="Z581" s="12">
        <v>43171</v>
      </c>
      <c r="AA581" s="12">
        <v>43177</v>
      </c>
    </row>
    <row r="582" spans="1:27" x14ac:dyDescent="0.25">
      <c r="A582">
        <v>578</v>
      </c>
      <c r="B582" s="19" t="s">
        <v>725</v>
      </c>
      <c r="C582" s="19" t="s">
        <v>726</v>
      </c>
      <c r="D582" s="19" t="s">
        <v>727</v>
      </c>
      <c r="E582" s="19" t="s">
        <v>102</v>
      </c>
      <c r="F582" s="19" t="s">
        <v>1582</v>
      </c>
      <c r="G582" s="12">
        <v>43167</v>
      </c>
      <c r="H582" s="12">
        <v>43185</v>
      </c>
      <c r="J582" s="12">
        <v>43173</v>
      </c>
      <c r="K582" t="b">
        <v>1</v>
      </c>
      <c r="L582" s="12"/>
      <c r="M582" t="b">
        <v>0</v>
      </c>
      <c r="N582">
        <v>1</v>
      </c>
      <c r="O582">
        <v>1</v>
      </c>
      <c r="P582" s="19" t="s">
        <v>1583</v>
      </c>
      <c r="Q582" s="19" t="s">
        <v>259</v>
      </c>
      <c r="R582" s="19" t="s">
        <v>121</v>
      </c>
      <c r="S582" s="19" t="s">
        <v>131</v>
      </c>
      <c r="T582" s="16">
        <v>39</v>
      </c>
      <c r="U582" s="16">
        <v>21.43</v>
      </c>
      <c r="V582" s="16">
        <v>60.43</v>
      </c>
      <c r="W582" s="19" t="s">
        <v>1579</v>
      </c>
      <c r="X582" s="19" t="s">
        <v>730</v>
      </c>
      <c r="Y582" s="12">
        <v>43177</v>
      </c>
      <c r="Z582" s="12">
        <v>43171</v>
      </c>
      <c r="AA582" s="12">
        <v>43177</v>
      </c>
    </row>
    <row r="583" spans="1:27" x14ac:dyDescent="0.25">
      <c r="A583">
        <v>579</v>
      </c>
      <c r="B583" s="19" t="s">
        <v>725</v>
      </c>
      <c r="C583" s="19" t="s">
        <v>726</v>
      </c>
      <c r="D583" s="19" t="s">
        <v>727</v>
      </c>
      <c r="E583" s="19" t="s">
        <v>102</v>
      </c>
      <c r="F583" s="19" t="s">
        <v>1584</v>
      </c>
      <c r="G583" s="12">
        <v>43167</v>
      </c>
      <c r="H583" s="12">
        <v>43186</v>
      </c>
      <c r="J583" s="12">
        <v>43173</v>
      </c>
      <c r="K583" t="b">
        <v>1</v>
      </c>
      <c r="L583" s="12"/>
      <c r="M583" t="b">
        <v>0</v>
      </c>
      <c r="N583">
        <v>1</v>
      </c>
      <c r="O583">
        <v>1</v>
      </c>
      <c r="P583" s="19" t="s">
        <v>1585</v>
      </c>
      <c r="Q583" s="19" t="s">
        <v>259</v>
      </c>
      <c r="R583" s="19" t="s">
        <v>131</v>
      </c>
      <c r="S583" s="19" t="s">
        <v>121</v>
      </c>
      <c r="T583" s="16">
        <v>34.9</v>
      </c>
      <c r="U583" s="16">
        <v>15.23</v>
      </c>
      <c r="V583" s="16">
        <v>50.13</v>
      </c>
      <c r="W583" s="19" t="s">
        <v>1586</v>
      </c>
      <c r="X583" s="19" t="s">
        <v>730</v>
      </c>
      <c r="Y583" s="12">
        <v>43177</v>
      </c>
      <c r="Z583" s="12">
        <v>43171</v>
      </c>
      <c r="AA583" s="12">
        <v>43177</v>
      </c>
    </row>
    <row r="584" spans="1:27" x14ac:dyDescent="0.25">
      <c r="A584">
        <v>580</v>
      </c>
      <c r="B584" s="19" t="s">
        <v>725</v>
      </c>
      <c r="C584" s="19" t="s">
        <v>726</v>
      </c>
      <c r="D584" s="19" t="s">
        <v>727</v>
      </c>
      <c r="E584" s="19" t="s">
        <v>102</v>
      </c>
      <c r="F584" s="19" t="s">
        <v>1587</v>
      </c>
      <c r="G584" s="12">
        <v>43167</v>
      </c>
      <c r="H584" s="12">
        <v>43179</v>
      </c>
      <c r="J584" s="12">
        <v>43173</v>
      </c>
      <c r="K584" t="b">
        <v>1</v>
      </c>
      <c r="L584" s="12"/>
      <c r="M584" t="b">
        <v>0</v>
      </c>
      <c r="N584">
        <v>1</v>
      </c>
      <c r="O584">
        <v>1</v>
      </c>
      <c r="P584" s="19" t="s">
        <v>1588</v>
      </c>
      <c r="Q584" s="19" t="s">
        <v>259</v>
      </c>
      <c r="R584" s="19" t="s">
        <v>121</v>
      </c>
      <c r="S584" s="19" t="s">
        <v>121</v>
      </c>
      <c r="T584" s="16">
        <v>19.899999999999999</v>
      </c>
      <c r="U584" s="16">
        <v>8.2899999999999991</v>
      </c>
      <c r="V584" s="16">
        <v>28.19</v>
      </c>
      <c r="W584" s="19" t="s">
        <v>1589</v>
      </c>
      <c r="X584" s="19" t="s">
        <v>730</v>
      </c>
      <c r="Y584" s="12">
        <v>43177</v>
      </c>
      <c r="Z584" s="12">
        <v>43171</v>
      </c>
      <c r="AA584" s="12">
        <v>43177</v>
      </c>
    </row>
    <row r="585" spans="1:27" x14ac:dyDescent="0.25">
      <c r="A585">
        <v>581</v>
      </c>
      <c r="B585" s="19" t="s">
        <v>725</v>
      </c>
      <c r="C585" s="19" t="s">
        <v>726</v>
      </c>
      <c r="D585" s="19" t="s">
        <v>727</v>
      </c>
      <c r="E585" s="19" t="s">
        <v>102</v>
      </c>
      <c r="F585" s="19" t="s">
        <v>1590</v>
      </c>
      <c r="G585" s="12">
        <v>43168</v>
      </c>
      <c r="H585" s="12">
        <v>43195</v>
      </c>
      <c r="J585" s="12">
        <v>43174</v>
      </c>
      <c r="K585" t="b">
        <v>1</v>
      </c>
      <c r="L585" s="12"/>
      <c r="M585" t="b">
        <v>0</v>
      </c>
      <c r="N585">
        <v>2</v>
      </c>
      <c r="O585">
        <v>1</v>
      </c>
      <c r="P585" s="19" t="s">
        <v>1591</v>
      </c>
      <c r="Q585" s="19" t="s">
        <v>259</v>
      </c>
      <c r="R585" s="19" t="s">
        <v>122</v>
      </c>
      <c r="S585" s="19" t="s">
        <v>122</v>
      </c>
      <c r="T585" s="16">
        <v>898</v>
      </c>
      <c r="U585" s="16">
        <v>41.72</v>
      </c>
      <c r="V585" s="16">
        <v>939.72</v>
      </c>
      <c r="W585" s="19" t="s">
        <v>1592</v>
      </c>
      <c r="X585" s="19" t="s">
        <v>730</v>
      </c>
      <c r="Y585" s="12">
        <v>43177</v>
      </c>
      <c r="Z585" s="12">
        <v>43171</v>
      </c>
      <c r="AA585" s="12">
        <v>43177</v>
      </c>
    </row>
    <row r="586" spans="1:27" x14ac:dyDescent="0.25">
      <c r="A586">
        <v>582</v>
      </c>
      <c r="B586" s="19" t="s">
        <v>725</v>
      </c>
      <c r="C586" s="19" t="s">
        <v>726</v>
      </c>
      <c r="D586" s="19" t="s">
        <v>727</v>
      </c>
      <c r="E586" s="19" t="s">
        <v>102</v>
      </c>
      <c r="F586" s="19" t="s">
        <v>1593</v>
      </c>
      <c r="G586" s="12">
        <v>43170</v>
      </c>
      <c r="H586" s="12">
        <v>43201</v>
      </c>
      <c r="J586" s="12">
        <v>43174</v>
      </c>
      <c r="K586" t="b">
        <v>1</v>
      </c>
      <c r="L586" s="12"/>
      <c r="M586" t="b">
        <v>0</v>
      </c>
      <c r="N586">
        <v>1</v>
      </c>
      <c r="O586">
        <v>1</v>
      </c>
      <c r="P586" s="19" t="s">
        <v>1594</v>
      </c>
      <c r="Q586" s="19" t="s">
        <v>259</v>
      </c>
      <c r="R586" s="19" t="s">
        <v>187</v>
      </c>
      <c r="S586" s="19" t="s">
        <v>178</v>
      </c>
      <c r="T586" s="16">
        <v>849.5</v>
      </c>
      <c r="U586" s="16">
        <v>24.92</v>
      </c>
      <c r="V586" s="16">
        <v>874.42</v>
      </c>
      <c r="W586" s="19" t="s">
        <v>1595</v>
      </c>
      <c r="X586" s="19" t="s">
        <v>730</v>
      </c>
      <c r="Y586" s="12">
        <v>43177</v>
      </c>
      <c r="Z586" s="12">
        <v>43171</v>
      </c>
      <c r="AA586" s="12">
        <v>43177</v>
      </c>
    </row>
    <row r="587" spans="1:27" x14ac:dyDescent="0.25">
      <c r="A587">
        <v>583</v>
      </c>
      <c r="B587" s="19" t="s">
        <v>725</v>
      </c>
      <c r="C587" s="19" t="s">
        <v>726</v>
      </c>
      <c r="D587" s="19" t="s">
        <v>727</v>
      </c>
      <c r="E587" s="19" t="s">
        <v>102</v>
      </c>
      <c r="F587" s="19" t="s">
        <v>1596</v>
      </c>
      <c r="G587" s="12">
        <v>43169</v>
      </c>
      <c r="H587" s="12">
        <v>43202</v>
      </c>
      <c r="J587" s="12">
        <v>43174</v>
      </c>
      <c r="K587" t="b">
        <v>1</v>
      </c>
      <c r="L587" s="12"/>
      <c r="M587" t="b">
        <v>0</v>
      </c>
      <c r="N587">
        <v>1</v>
      </c>
      <c r="O587">
        <v>1</v>
      </c>
      <c r="P587" s="19" t="s">
        <v>1594</v>
      </c>
      <c r="Q587" s="19" t="s">
        <v>259</v>
      </c>
      <c r="R587" s="19" t="s">
        <v>187</v>
      </c>
      <c r="S587" s="19" t="s">
        <v>122</v>
      </c>
      <c r="T587" s="16">
        <v>679</v>
      </c>
      <c r="U587" s="16">
        <v>56.88</v>
      </c>
      <c r="V587" s="16">
        <v>735.88</v>
      </c>
      <c r="W587" s="19" t="s">
        <v>1597</v>
      </c>
      <c r="X587" s="19" t="s">
        <v>730</v>
      </c>
      <c r="Y587" s="12">
        <v>43177</v>
      </c>
      <c r="Z587" s="12">
        <v>43171</v>
      </c>
      <c r="AA587" s="12">
        <v>43177</v>
      </c>
    </row>
    <row r="588" spans="1:27" x14ac:dyDescent="0.25">
      <c r="A588">
        <v>584</v>
      </c>
      <c r="B588" s="19" t="s">
        <v>725</v>
      </c>
      <c r="C588" s="19" t="s">
        <v>726</v>
      </c>
      <c r="D588" s="19" t="s">
        <v>727</v>
      </c>
      <c r="E588" s="19" t="s">
        <v>102</v>
      </c>
      <c r="F588" s="19" t="s">
        <v>1598</v>
      </c>
      <c r="G588" s="12">
        <v>43165</v>
      </c>
      <c r="H588" s="12">
        <v>43185</v>
      </c>
      <c r="J588" s="12">
        <v>43174</v>
      </c>
      <c r="K588" t="b">
        <v>1</v>
      </c>
      <c r="L588" s="12"/>
      <c r="M588" t="b">
        <v>0</v>
      </c>
      <c r="N588">
        <v>1</v>
      </c>
      <c r="O588">
        <v>1</v>
      </c>
      <c r="P588" s="19" t="s">
        <v>1232</v>
      </c>
      <c r="Q588" s="19" t="s">
        <v>259</v>
      </c>
      <c r="R588" s="19" t="s">
        <v>121</v>
      </c>
      <c r="S588" s="19" t="s">
        <v>164</v>
      </c>
      <c r="T588" s="16">
        <v>389</v>
      </c>
      <c r="U588" s="16">
        <v>55.25</v>
      </c>
      <c r="V588" s="16">
        <v>444.25</v>
      </c>
      <c r="W588" s="19" t="s">
        <v>1599</v>
      </c>
      <c r="X588" s="19" t="s">
        <v>730</v>
      </c>
      <c r="Y588" s="12">
        <v>43177</v>
      </c>
      <c r="Z588" s="12">
        <v>43171</v>
      </c>
      <c r="AA588" s="12">
        <v>43177</v>
      </c>
    </row>
    <row r="589" spans="1:27" x14ac:dyDescent="0.25">
      <c r="A589">
        <v>585</v>
      </c>
      <c r="B589" s="19" t="s">
        <v>725</v>
      </c>
      <c r="C589" s="19" t="s">
        <v>726</v>
      </c>
      <c r="D589" s="19" t="s">
        <v>727</v>
      </c>
      <c r="E589" s="19" t="s">
        <v>102</v>
      </c>
      <c r="F589" s="19" t="s">
        <v>1600</v>
      </c>
      <c r="G589" s="12">
        <v>43169</v>
      </c>
      <c r="H589" s="12">
        <v>43181</v>
      </c>
      <c r="J589" s="12">
        <v>43174</v>
      </c>
      <c r="K589" t="b">
        <v>1</v>
      </c>
      <c r="L589" s="12"/>
      <c r="M589" t="b">
        <v>0</v>
      </c>
      <c r="N589">
        <v>1</v>
      </c>
      <c r="O589">
        <v>1</v>
      </c>
      <c r="P589" s="19" t="s">
        <v>1601</v>
      </c>
      <c r="Q589" s="19" t="s">
        <v>259</v>
      </c>
      <c r="R589" s="19" t="s">
        <v>121</v>
      </c>
      <c r="S589" s="19" t="s">
        <v>121</v>
      </c>
      <c r="T589" s="16">
        <v>238.97</v>
      </c>
      <c r="U589" s="16">
        <v>14.38</v>
      </c>
      <c r="V589" s="16">
        <v>253.35</v>
      </c>
      <c r="W589" s="19" t="s">
        <v>1602</v>
      </c>
      <c r="X589" s="19" t="s">
        <v>730</v>
      </c>
      <c r="Y589" s="12">
        <v>43177</v>
      </c>
      <c r="Z589" s="12">
        <v>43171</v>
      </c>
      <c r="AA589" s="12">
        <v>43177</v>
      </c>
    </row>
    <row r="590" spans="1:27" x14ac:dyDescent="0.25">
      <c r="A590">
        <v>586</v>
      </c>
      <c r="B590" s="19" t="s">
        <v>725</v>
      </c>
      <c r="C590" s="19" t="s">
        <v>726</v>
      </c>
      <c r="D590" s="19" t="s">
        <v>727</v>
      </c>
      <c r="E590" s="19" t="s">
        <v>102</v>
      </c>
      <c r="F590" s="19" t="s">
        <v>1603</v>
      </c>
      <c r="G590" s="12">
        <v>43170</v>
      </c>
      <c r="H590" s="12">
        <v>43187</v>
      </c>
      <c r="J590" s="12">
        <v>43174</v>
      </c>
      <c r="K590" t="b">
        <v>1</v>
      </c>
      <c r="L590" s="12"/>
      <c r="M590" t="b">
        <v>0</v>
      </c>
      <c r="N590">
        <v>1</v>
      </c>
      <c r="O590">
        <v>1</v>
      </c>
      <c r="P590" s="19" t="s">
        <v>673</v>
      </c>
      <c r="Q590" s="19" t="s">
        <v>259</v>
      </c>
      <c r="R590" s="19" t="s">
        <v>121</v>
      </c>
      <c r="S590" s="19" t="s">
        <v>121</v>
      </c>
      <c r="T590" s="16">
        <v>104</v>
      </c>
      <c r="U590" s="16">
        <v>14.82</v>
      </c>
      <c r="V590" s="16">
        <v>118.82</v>
      </c>
      <c r="W590" s="19" t="s">
        <v>1604</v>
      </c>
      <c r="X590" s="19" t="s">
        <v>730</v>
      </c>
      <c r="Y590" s="12">
        <v>43177</v>
      </c>
      <c r="Z590" s="12">
        <v>43171</v>
      </c>
      <c r="AA590" s="12">
        <v>43177</v>
      </c>
    </row>
    <row r="591" spans="1:27" x14ac:dyDescent="0.25">
      <c r="A591">
        <v>587</v>
      </c>
      <c r="B591" s="19" t="s">
        <v>725</v>
      </c>
      <c r="C591" s="19" t="s">
        <v>726</v>
      </c>
      <c r="D591" s="19" t="s">
        <v>727</v>
      </c>
      <c r="E591" s="19" t="s">
        <v>102</v>
      </c>
      <c r="F591" s="19" t="s">
        <v>1605</v>
      </c>
      <c r="G591" s="12">
        <v>43169</v>
      </c>
      <c r="H591" s="12">
        <v>43187</v>
      </c>
      <c r="J591" s="12">
        <v>43174</v>
      </c>
      <c r="K591" t="b">
        <v>1</v>
      </c>
      <c r="L591" s="12"/>
      <c r="M591" t="b">
        <v>0</v>
      </c>
      <c r="N591">
        <v>2</v>
      </c>
      <c r="O591">
        <v>1</v>
      </c>
      <c r="P591" s="19" t="s">
        <v>642</v>
      </c>
      <c r="Q591" s="19" t="s">
        <v>259</v>
      </c>
      <c r="R591" s="19" t="s">
        <v>121</v>
      </c>
      <c r="S591" s="19" t="s">
        <v>121</v>
      </c>
      <c r="T591" s="16">
        <v>90.98</v>
      </c>
      <c r="U591" s="16">
        <v>26.5</v>
      </c>
      <c r="V591" s="16">
        <v>117.48</v>
      </c>
      <c r="W591" s="19" t="s">
        <v>1604</v>
      </c>
      <c r="X591" s="19" t="s">
        <v>730</v>
      </c>
      <c r="Y591" s="12">
        <v>43177</v>
      </c>
      <c r="Z591" s="12">
        <v>43171</v>
      </c>
      <c r="AA591" s="12">
        <v>43177</v>
      </c>
    </row>
    <row r="592" spans="1:27" x14ac:dyDescent="0.25">
      <c r="A592">
        <v>588</v>
      </c>
      <c r="B592" s="19" t="s">
        <v>725</v>
      </c>
      <c r="C592" s="19" t="s">
        <v>726</v>
      </c>
      <c r="D592" s="19" t="s">
        <v>727</v>
      </c>
      <c r="E592" s="19" t="s">
        <v>102</v>
      </c>
      <c r="F592" s="19" t="s">
        <v>1606</v>
      </c>
      <c r="G592" s="12">
        <v>43170</v>
      </c>
      <c r="H592" s="12">
        <v>43181</v>
      </c>
      <c r="J592" s="12">
        <v>43174</v>
      </c>
      <c r="K592" t="b">
        <v>1</v>
      </c>
      <c r="L592" s="12"/>
      <c r="M592" t="b">
        <v>0</v>
      </c>
      <c r="N592">
        <v>1</v>
      </c>
      <c r="O592">
        <v>1</v>
      </c>
      <c r="P592" s="19" t="s">
        <v>491</v>
      </c>
      <c r="Q592" s="19" t="s">
        <v>259</v>
      </c>
      <c r="R592" s="19" t="s">
        <v>121</v>
      </c>
      <c r="S592" s="19" t="s">
        <v>121</v>
      </c>
      <c r="T592" s="16">
        <v>66</v>
      </c>
      <c r="U592" s="16">
        <v>7.39</v>
      </c>
      <c r="V592" s="16">
        <v>73.39</v>
      </c>
      <c r="W592" s="19" t="s">
        <v>1602</v>
      </c>
      <c r="X592" s="19" t="s">
        <v>730</v>
      </c>
      <c r="Y592" s="12">
        <v>43177</v>
      </c>
      <c r="Z592" s="12">
        <v>43171</v>
      </c>
      <c r="AA592" s="12">
        <v>43177</v>
      </c>
    </row>
    <row r="593" spans="1:27" x14ac:dyDescent="0.25">
      <c r="A593">
        <v>589</v>
      </c>
      <c r="B593" s="19" t="s">
        <v>725</v>
      </c>
      <c r="C593" s="19" t="s">
        <v>726</v>
      </c>
      <c r="D593" s="19" t="s">
        <v>727</v>
      </c>
      <c r="E593" s="19" t="s">
        <v>102</v>
      </c>
      <c r="F593" s="19" t="s">
        <v>1607</v>
      </c>
      <c r="G593" s="12">
        <v>43166</v>
      </c>
      <c r="H593" s="12">
        <v>43178</v>
      </c>
      <c r="J593" s="12">
        <v>43174</v>
      </c>
      <c r="K593" t="b">
        <v>1</v>
      </c>
      <c r="L593" s="12"/>
      <c r="M593" t="b">
        <v>0</v>
      </c>
      <c r="N593">
        <v>1</v>
      </c>
      <c r="O593">
        <v>1</v>
      </c>
      <c r="P593" s="19" t="s">
        <v>769</v>
      </c>
      <c r="Q593" s="19" t="s">
        <v>259</v>
      </c>
      <c r="R593" s="19" t="s">
        <v>121</v>
      </c>
      <c r="S593" s="19" t="s">
        <v>121</v>
      </c>
      <c r="T593" s="16">
        <v>34.99</v>
      </c>
      <c r="U593" s="16">
        <v>8.4</v>
      </c>
      <c r="V593" s="16">
        <v>43.39</v>
      </c>
      <c r="W593" s="19" t="s">
        <v>1608</v>
      </c>
      <c r="X593" s="19" t="s">
        <v>730</v>
      </c>
      <c r="Y593" s="12">
        <v>43177</v>
      </c>
      <c r="Z593" s="12">
        <v>43171</v>
      </c>
      <c r="AA593" s="12">
        <v>43177</v>
      </c>
    </row>
    <row r="594" spans="1:27" x14ac:dyDescent="0.25">
      <c r="A594">
        <v>590</v>
      </c>
      <c r="B594" s="19" t="s">
        <v>725</v>
      </c>
      <c r="C594" s="19" t="s">
        <v>726</v>
      </c>
      <c r="D594" s="19" t="s">
        <v>727</v>
      </c>
      <c r="E594" s="19" t="s">
        <v>102</v>
      </c>
      <c r="F594" s="19" t="s">
        <v>1609</v>
      </c>
      <c r="G594" s="12">
        <v>43158</v>
      </c>
      <c r="H594" s="12">
        <v>43192</v>
      </c>
      <c r="J594" s="12">
        <v>43174</v>
      </c>
      <c r="K594" t="b">
        <v>1</v>
      </c>
      <c r="L594" s="12"/>
      <c r="M594" t="b">
        <v>0</v>
      </c>
      <c r="N594">
        <v>1</v>
      </c>
      <c r="O594">
        <v>1</v>
      </c>
      <c r="P594" s="19" t="s">
        <v>743</v>
      </c>
      <c r="Q594" s="19" t="s">
        <v>259</v>
      </c>
      <c r="R594" s="19" t="s">
        <v>131</v>
      </c>
      <c r="S594" s="19" t="s">
        <v>125</v>
      </c>
      <c r="T594" s="16">
        <v>31.9</v>
      </c>
      <c r="U594" s="16">
        <v>16.79</v>
      </c>
      <c r="V594" s="16">
        <v>48.69</v>
      </c>
      <c r="W594" s="19" t="s">
        <v>1610</v>
      </c>
      <c r="X594" s="19" t="s">
        <v>730</v>
      </c>
      <c r="Y594" s="12">
        <v>43177</v>
      </c>
      <c r="Z594" s="12">
        <v>43171</v>
      </c>
      <c r="AA594" s="12">
        <v>43177</v>
      </c>
    </row>
    <row r="595" spans="1:27" x14ac:dyDescent="0.25">
      <c r="A595">
        <v>591</v>
      </c>
      <c r="B595" s="19" t="s">
        <v>725</v>
      </c>
      <c r="C595" s="19" t="s">
        <v>726</v>
      </c>
      <c r="D595" s="19" t="s">
        <v>727</v>
      </c>
      <c r="E595" s="19" t="s">
        <v>102</v>
      </c>
      <c r="F595" s="19" t="s">
        <v>1611</v>
      </c>
      <c r="G595" s="12">
        <v>43170</v>
      </c>
      <c r="H595" s="12">
        <v>43188</v>
      </c>
      <c r="J595" s="12">
        <v>43174</v>
      </c>
      <c r="K595" t="b">
        <v>1</v>
      </c>
      <c r="L595" s="12"/>
      <c r="M595" t="b">
        <v>0</v>
      </c>
      <c r="N595">
        <v>1</v>
      </c>
      <c r="O595">
        <v>1</v>
      </c>
      <c r="P595" s="19" t="s">
        <v>1588</v>
      </c>
      <c r="Q595" s="19" t="s">
        <v>259</v>
      </c>
      <c r="R595" s="19" t="s">
        <v>121</v>
      </c>
      <c r="S595" s="19" t="s">
        <v>122</v>
      </c>
      <c r="T595" s="16">
        <v>29.9</v>
      </c>
      <c r="U595" s="16">
        <v>15.23</v>
      </c>
      <c r="V595" s="16">
        <v>45.13</v>
      </c>
      <c r="W595" s="19" t="s">
        <v>1612</v>
      </c>
      <c r="X595" s="19" t="s">
        <v>730</v>
      </c>
      <c r="Y595" s="12">
        <v>43177</v>
      </c>
      <c r="Z595" s="12">
        <v>43171</v>
      </c>
      <c r="AA595" s="12">
        <v>43177</v>
      </c>
    </row>
    <row r="596" spans="1:27" x14ac:dyDescent="0.25">
      <c r="A596">
        <v>592</v>
      </c>
      <c r="B596" s="19" t="s">
        <v>725</v>
      </c>
      <c r="C596" s="19" t="s">
        <v>726</v>
      </c>
      <c r="D596" s="19" t="s">
        <v>727</v>
      </c>
      <c r="E596" s="19" t="s">
        <v>102</v>
      </c>
      <c r="F596" s="19" t="s">
        <v>1613</v>
      </c>
      <c r="G596" s="12">
        <v>43160</v>
      </c>
      <c r="H596" s="12">
        <v>43207</v>
      </c>
      <c r="J596" s="12">
        <v>43174</v>
      </c>
      <c r="K596" t="b">
        <v>1</v>
      </c>
      <c r="L596" s="12"/>
      <c r="M596" t="b">
        <v>0</v>
      </c>
      <c r="N596">
        <v>1</v>
      </c>
      <c r="O596">
        <v>1</v>
      </c>
      <c r="P596" s="19" t="s">
        <v>743</v>
      </c>
      <c r="Q596" s="19" t="s">
        <v>259</v>
      </c>
      <c r="R596" s="19" t="s">
        <v>131</v>
      </c>
      <c r="S596" s="19" t="s">
        <v>226</v>
      </c>
      <c r="T596" s="16">
        <v>27.9</v>
      </c>
      <c r="U596" s="16">
        <v>31.02</v>
      </c>
      <c r="V596" s="16">
        <v>58.92</v>
      </c>
      <c r="W596" s="19" t="s">
        <v>1614</v>
      </c>
      <c r="X596" s="19" t="s">
        <v>730</v>
      </c>
      <c r="Y596" s="12">
        <v>43177</v>
      </c>
      <c r="Z596" s="12">
        <v>43171</v>
      </c>
      <c r="AA596" s="12">
        <v>43177</v>
      </c>
    </row>
    <row r="597" spans="1:27" x14ac:dyDescent="0.25">
      <c r="A597">
        <v>593</v>
      </c>
      <c r="B597" s="19" t="s">
        <v>725</v>
      </c>
      <c r="C597" s="19" t="s">
        <v>726</v>
      </c>
      <c r="D597" s="19" t="s">
        <v>727</v>
      </c>
      <c r="E597" s="19" t="s">
        <v>102</v>
      </c>
      <c r="F597" s="19" t="s">
        <v>1615</v>
      </c>
      <c r="G597" s="12">
        <v>43167</v>
      </c>
      <c r="H597" s="12">
        <v>43192</v>
      </c>
      <c r="J597" s="12">
        <v>43174</v>
      </c>
      <c r="K597" t="b">
        <v>1</v>
      </c>
      <c r="L597" s="12"/>
      <c r="M597" t="b">
        <v>0</v>
      </c>
      <c r="N597">
        <v>1</v>
      </c>
      <c r="O597">
        <v>1</v>
      </c>
      <c r="P597" s="19" t="s">
        <v>413</v>
      </c>
      <c r="Q597" s="19" t="s">
        <v>259</v>
      </c>
      <c r="R597" s="19" t="s">
        <v>121</v>
      </c>
      <c r="S597" s="19" t="s">
        <v>127</v>
      </c>
      <c r="T597" s="16">
        <v>18.899999999999999</v>
      </c>
      <c r="U597" s="16">
        <v>18.23</v>
      </c>
      <c r="V597" s="16">
        <v>37.130000000000003</v>
      </c>
      <c r="W597" s="19" t="s">
        <v>1610</v>
      </c>
      <c r="X597" s="19" t="s">
        <v>730</v>
      </c>
      <c r="Y597" s="12">
        <v>43177</v>
      </c>
      <c r="Z597" s="12">
        <v>43171</v>
      </c>
      <c r="AA597" s="12">
        <v>43177</v>
      </c>
    </row>
    <row r="598" spans="1:27" x14ac:dyDescent="0.25">
      <c r="A598">
        <v>594</v>
      </c>
      <c r="B598" s="19" t="s">
        <v>725</v>
      </c>
      <c r="C598" s="19" t="s">
        <v>726</v>
      </c>
      <c r="D598" s="19" t="s">
        <v>727</v>
      </c>
      <c r="E598" s="19" t="s">
        <v>102</v>
      </c>
      <c r="F598" s="19" t="s">
        <v>1616</v>
      </c>
      <c r="G598" s="12">
        <v>43171</v>
      </c>
      <c r="H598" s="12">
        <v>43194</v>
      </c>
      <c r="J598" s="12">
        <v>43175</v>
      </c>
      <c r="K598" t="b">
        <v>1</v>
      </c>
      <c r="L598" s="12"/>
      <c r="M598" t="b">
        <v>0</v>
      </c>
      <c r="N598">
        <v>1</v>
      </c>
      <c r="O598">
        <v>1</v>
      </c>
      <c r="P598" s="19" t="s">
        <v>1617</v>
      </c>
      <c r="Q598" s="19" t="s">
        <v>259</v>
      </c>
      <c r="R598" s="19" t="s">
        <v>135</v>
      </c>
      <c r="S598" s="19" t="s">
        <v>121</v>
      </c>
      <c r="T598" s="16">
        <v>479.82</v>
      </c>
      <c r="U598" s="16">
        <v>17.440000000000001</v>
      </c>
      <c r="V598" s="16">
        <v>497.26</v>
      </c>
      <c r="W598" s="19" t="s">
        <v>1618</v>
      </c>
      <c r="X598" s="19" t="s">
        <v>730</v>
      </c>
      <c r="Y598" s="12">
        <v>43177</v>
      </c>
      <c r="Z598" s="12">
        <v>43171</v>
      </c>
      <c r="AA598" s="12">
        <v>43177</v>
      </c>
    </row>
    <row r="599" spans="1:27" x14ac:dyDescent="0.25">
      <c r="A599">
        <v>595</v>
      </c>
      <c r="B599" s="19" t="s">
        <v>725</v>
      </c>
      <c r="C599" s="19" t="s">
        <v>726</v>
      </c>
      <c r="D599" s="19" t="s">
        <v>727</v>
      </c>
      <c r="E599" s="19" t="s">
        <v>102</v>
      </c>
      <c r="F599" s="19" t="s">
        <v>1619</v>
      </c>
      <c r="G599" s="12">
        <v>43167</v>
      </c>
      <c r="H599" s="12">
        <v>43181</v>
      </c>
      <c r="J599" s="12">
        <v>43175</v>
      </c>
      <c r="K599" t="b">
        <v>1</v>
      </c>
      <c r="L599" s="12"/>
      <c r="M599" t="b">
        <v>0</v>
      </c>
      <c r="N599">
        <v>2</v>
      </c>
      <c r="O599">
        <v>1</v>
      </c>
      <c r="P599" s="19" t="s">
        <v>1369</v>
      </c>
      <c r="Q599" s="19" t="s">
        <v>259</v>
      </c>
      <c r="R599" s="19" t="s">
        <v>121</v>
      </c>
      <c r="S599" s="19" t="s">
        <v>121</v>
      </c>
      <c r="T599" s="16">
        <v>162</v>
      </c>
      <c r="U599" s="16">
        <v>20.260000000000002</v>
      </c>
      <c r="V599" s="16">
        <v>182.26</v>
      </c>
      <c r="W599" s="19" t="s">
        <v>1620</v>
      </c>
      <c r="X599" s="19" t="s">
        <v>730</v>
      </c>
      <c r="Y599" s="12">
        <v>43177</v>
      </c>
      <c r="Z599" s="12">
        <v>43171</v>
      </c>
      <c r="AA599" s="12">
        <v>43177</v>
      </c>
    </row>
    <row r="600" spans="1:27" x14ac:dyDescent="0.25">
      <c r="A600">
        <v>596</v>
      </c>
      <c r="B600" s="19" t="s">
        <v>725</v>
      </c>
      <c r="C600" s="19" t="s">
        <v>726</v>
      </c>
      <c r="D600" s="19" t="s">
        <v>727</v>
      </c>
      <c r="E600" s="19" t="s">
        <v>102</v>
      </c>
      <c r="F600" s="19" t="s">
        <v>1621</v>
      </c>
      <c r="G600" s="12">
        <v>43171</v>
      </c>
      <c r="H600" s="12">
        <v>43187</v>
      </c>
      <c r="J600" s="12">
        <v>43175</v>
      </c>
      <c r="K600" t="b">
        <v>1</v>
      </c>
      <c r="L600" s="12"/>
      <c r="M600" t="b">
        <v>0</v>
      </c>
      <c r="N600">
        <v>1</v>
      </c>
      <c r="O600">
        <v>1</v>
      </c>
      <c r="P600" s="19" t="s">
        <v>1622</v>
      </c>
      <c r="Q600" s="19" t="s">
        <v>259</v>
      </c>
      <c r="R600" s="19" t="s">
        <v>122</v>
      </c>
      <c r="S600" s="19" t="s">
        <v>122</v>
      </c>
      <c r="T600" s="16">
        <v>129.9</v>
      </c>
      <c r="U600" s="16">
        <v>15.61</v>
      </c>
      <c r="V600" s="16">
        <v>145.51</v>
      </c>
      <c r="W600" s="19" t="s">
        <v>1623</v>
      </c>
      <c r="X600" s="19" t="s">
        <v>730</v>
      </c>
      <c r="Y600" s="12">
        <v>43177</v>
      </c>
      <c r="Z600" s="12">
        <v>43171</v>
      </c>
      <c r="AA600" s="12">
        <v>43177</v>
      </c>
    </row>
    <row r="601" spans="1:27" x14ac:dyDescent="0.25">
      <c r="A601">
        <v>597</v>
      </c>
      <c r="B601" s="19" t="s">
        <v>725</v>
      </c>
      <c r="C601" s="19" t="s">
        <v>726</v>
      </c>
      <c r="D601" s="19" t="s">
        <v>727</v>
      </c>
      <c r="E601" s="19" t="s">
        <v>102</v>
      </c>
      <c r="F601" s="19" t="s">
        <v>1624</v>
      </c>
      <c r="G601" s="12">
        <v>43167</v>
      </c>
      <c r="H601" s="12">
        <v>43194</v>
      </c>
      <c r="J601" s="12">
        <v>43175</v>
      </c>
      <c r="K601" t="b">
        <v>1</v>
      </c>
      <c r="L601" s="12"/>
      <c r="M601" t="b">
        <v>0</v>
      </c>
      <c r="N601">
        <v>1</v>
      </c>
      <c r="O601">
        <v>1</v>
      </c>
      <c r="P601" s="19" t="s">
        <v>1369</v>
      </c>
      <c r="Q601" s="19" t="s">
        <v>259</v>
      </c>
      <c r="R601" s="19" t="s">
        <v>121</v>
      </c>
      <c r="S601" s="19" t="s">
        <v>138</v>
      </c>
      <c r="T601" s="16">
        <v>54</v>
      </c>
      <c r="U601" s="16">
        <v>16.350000000000001</v>
      </c>
      <c r="V601" s="16">
        <v>70.349999999999994</v>
      </c>
      <c r="W601" s="19" t="s">
        <v>1618</v>
      </c>
      <c r="X601" s="19" t="s">
        <v>730</v>
      </c>
      <c r="Y601" s="12">
        <v>43177</v>
      </c>
      <c r="Z601" s="12">
        <v>43171</v>
      </c>
      <c r="AA601" s="12">
        <v>43177</v>
      </c>
    </row>
    <row r="602" spans="1:27" x14ac:dyDescent="0.25">
      <c r="A602">
        <v>598</v>
      </c>
      <c r="B602" s="19" t="s">
        <v>725</v>
      </c>
      <c r="C602" s="19" t="s">
        <v>726</v>
      </c>
      <c r="D602" s="19" t="s">
        <v>727</v>
      </c>
      <c r="E602" s="19" t="s">
        <v>102</v>
      </c>
      <c r="F602" s="19" t="s">
        <v>1625</v>
      </c>
      <c r="G602" s="12">
        <v>43160</v>
      </c>
      <c r="H602" s="12">
        <v>43193</v>
      </c>
      <c r="J602" s="12">
        <v>43175</v>
      </c>
      <c r="K602" t="b">
        <v>1</v>
      </c>
      <c r="L602" s="12"/>
      <c r="M602" t="b">
        <v>0</v>
      </c>
      <c r="N602">
        <v>1</v>
      </c>
      <c r="O602">
        <v>1</v>
      </c>
      <c r="P602" s="19" t="s">
        <v>743</v>
      </c>
      <c r="Q602" s="19" t="s">
        <v>259</v>
      </c>
      <c r="R602" s="19" t="s">
        <v>131</v>
      </c>
      <c r="S602" s="19" t="s">
        <v>129</v>
      </c>
      <c r="T602" s="16">
        <v>27.9</v>
      </c>
      <c r="U602" s="16">
        <v>16.79</v>
      </c>
      <c r="V602" s="16">
        <v>44.69</v>
      </c>
      <c r="W602" s="19" t="s">
        <v>1626</v>
      </c>
      <c r="X602" s="19" t="s">
        <v>730</v>
      </c>
      <c r="Y602" s="12">
        <v>43177</v>
      </c>
      <c r="Z602" s="12">
        <v>43171</v>
      </c>
      <c r="AA602" s="12">
        <v>43177</v>
      </c>
    </row>
    <row r="603" spans="1:27" x14ac:dyDescent="0.25">
      <c r="A603">
        <v>599</v>
      </c>
      <c r="B603" s="19" t="s">
        <v>725</v>
      </c>
      <c r="C603" s="19" t="s">
        <v>726</v>
      </c>
      <c r="D603" s="19" t="s">
        <v>727</v>
      </c>
      <c r="E603" s="19" t="s">
        <v>102</v>
      </c>
      <c r="F603" s="19" t="s">
        <v>1627</v>
      </c>
      <c r="G603" s="12">
        <v>43159</v>
      </c>
      <c r="H603" s="12">
        <v>43196</v>
      </c>
      <c r="J603" s="12">
        <v>43175</v>
      </c>
      <c r="K603" t="b">
        <v>1</v>
      </c>
      <c r="L603" s="12"/>
      <c r="M603" t="b">
        <v>0</v>
      </c>
      <c r="N603">
        <v>1</v>
      </c>
      <c r="O603">
        <v>1</v>
      </c>
      <c r="P603" s="19" t="s">
        <v>743</v>
      </c>
      <c r="Q603" s="19" t="s">
        <v>259</v>
      </c>
      <c r="R603" s="19" t="s">
        <v>131</v>
      </c>
      <c r="S603" s="19" t="s">
        <v>135</v>
      </c>
      <c r="T603" s="16">
        <v>27.9</v>
      </c>
      <c r="U603" s="16">
        <v>16.79</v>
      </c>
      <c r="V603" s="16">
        <v>44.69</v>
      </c>
      <c r="W603" s="19" t="s">
        <v>1628</v>
      </c>
      <c r="X603" s="19" t="s">
        <v>730</v>
      </c>
      <c r="Y603" s="12">
        <v>43177</v>
      </c>
      <c r="Z603" s="12">
        <v>43171</v>
      </c>
      <c r="AA603" s="12">
        <v>43177</v>
      </c>
    </row>
    <row r="604" spans="1:27" x14ac:dyDescent="0.25">
      <c r="A604">
        <v>600</v>
      </c>
      <c r="B604" s="19" t="s">
        <v>725</v>
      </c>
      <c r="C604" s="19" t="s">
        <v>726</v>
      </c>
      <c r="D604" s="19" t="s">
        <v>727</v>
      </c>
      <c r="E604" s="19" t="s">
        <v>102</v>
      </c>
      <c r="F604" s="19" t="s">
        <v>1629</v>
      </c>
      <c r="G604" s="12">
        <v>43168</v>
      </c>
      <c r="H604" s="12">
        <v>43194</v>
      </c>
      <c r="J604" s="12">
        <v>43175</v>
      </c>
      <c r="K604" t="b">
        <v>1</v>
      </c>
      <c r="L604" s="12"/>
      <c r="M604" t="b">
        <v>0</v>
      </c>
      <c r="N604">
        <v>1</v>
      </c>
      <c r="O604">
        <v>1</v>
      </c>
      <c r="P604" s="19" t="s">
        <v>590</v>
      </c>
      <c r="Q604" s="19" t="s">
        <v>259</v>
      </c>
      <c r="R604" s="19" t="s">
        <v>121</v>
      </c>
      <c r="S604" s="19" t="s">
        <v>125</v>
      </c>
      <c r="T604" s="16">
        <v>13.99</v>
      </c>
      <c r="U604" s="16">
        <v>15.23</v>
      </c>
      <c r="V604" s="16">
        <v>29.22</v>
      </c>
      <c r="W604" s="19" t="s">
        <v>1618</v>
      </c>
      <c r="X604" s="19" t="s">
        <v>730</v>
      </c>
      <c r="Y604" s="12">
        <v>43177</v>
      </c>
      <c r="Z604" s="12">
        <v>43171</v>
      </c>
      <c r="AA604" s="12">
        <v>43177</v>
      </c>
    </row>
    <row r="605" spans="1:27" x14ac:dyDescent="0.25">
      <c r="A605">
        <v>601</v>
      </c>
      <c r="B605" s="19" t="s">
        <v>725</v>
      </c>
      <c r="C605" s="19" t="s">
        <v>726</v>
      </c>
      <c r="D605" s="19" t="s">
        <v>727</v>
      </c>
      <c r="E605" s="19" t="s">
        <v>102</v>
      </c>
      <c r="F605" s="19" t="s">
        <v>1630</v>
      </c>
      <c r="G605" s="12">
        <v>43171</v>
      </c>
      <c r="H605" s="12">
        <v>43196</v>
      </c>
      <c r="J605" s="12">
        <v>43177</v>
      </c>
      <c r="K605" t="b">
        <v>1</v>
      </c>
      <c r="L605" s="12"/>
      <c r="M605" t="b">
        <v>0</v>
      </c>
      <c r="N605">
        <v>1</v>
      </c>
      <c r="O605">
        <v>1</v>
      </c>
      <c r="P605" s="19" t="s">
        <v>431</v>
      </c>
      <c r="Q605" s="19" t="s">
        <v>259</v>
      </c>
      <c r="R605" s="19" t="s">
        <v>122</v>
      </c>
      <c r="S605" s="19" t="s">
        <v>122</v>
      </c>
      <c r="T605" s="16">
        <v>37.9</v>
      </c>
      <c r="U605" s="16">
        <v>7.55</v>
      </c>
      <c r="V605" s="16">
        <v>45.45</v>
      </c>
      <c r="W605" s="19" t="s">
        <v>1631</v>
      </c>
      <c r="X605" s="19" t="s">
        <v>730</v>
      </c>
      <c r="Y605" s="12">
        <v>43177</v>
      </c>
      <c r="Z605" s="12">
        <v>43171</v>
      </c>
      <c r="AA605" s="12">
        <v>43177</v>
      </c>
    </row>
    <row r="606" spans="1:27" x14ac:dyDescent="0.25">
      <c r="A606">
        <v>602</v>
      </c>
      <c r="B606" s="19" t="s">
        <v>725</v>
      </c>
      <c r="C606" s="19" t="s">
        <v>726</v>
      </c>
      <c r="D606" s="19" t="s">
        <v>727</v>
      </c>
      <c r="E606" s="19" t="s">
        <v>102</v>
      </c>
      <c r="F606" s="19" t="s">
        <v>1632</v>
      </c>
      <c r="G606" s="12">
        <v>43171</v>
      </c>
      <c r="H606" s="12">
        <v>43194</v>
      </c>
      <c r="J606" s="12">
        <v>43177</v>
      </c>
      <c r="K606" t="b">
        <v>1</v>
      </c>
      <c r="L606" s="12"/>
      <c r="M606" t="b">
        <v>0</v>
      </c>
      <c r="N606">
        <v>1</v>
      </c>
      <c r="O606">
        <v>1</v>
      </c>
      <c r="P606" s="19" t="s">
        <v>606</v>
      </c>
      <c r="Q606" s="19" t="s">
        <v>259</v>
      </c>
      <c r="R606" s="19" t="s">
        <v>135</v>
      </c>
      <c r="S606" s="19" t="s">
        <v>125</v>
      </c>
      <c r="T606" s="16">
        <v>28.9</v>
      </c>
      <c r="U606" s="16">
        <v>18.23</v>
      </c>
      <c r="V606" s="16">
        <v>47.13</v>
      </c>
      <c r="W606" s="19" t="s">
        <v>1633</v>
      </c>
      <c r="X606" s="19" t="s">
        <v>730</v>
      </c>
      <c r="Y606" s="12">
        <v>43177</v>
      </c>
      <c r="Z606" s="12">
        <v>43171</v>
      </c>
      <c r="AA606" s="12">
        <v>43177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8A67-55B0-4A0A-8430-EA9DA2501971}">
  <dimension ref="A1:D18"/>
  <sheetViews>
    <sheetView workbookViewId="0"/>
  </sheetViews>
  <sheetFormatPr defaultRowHeight="13.5" x14ac:dyDescent="0.25"/>
  <cols>
    <col min="1" max="1" width="15.09765625" bestFit="1" customWidth="1"/>
    <col min="2" max="2" width="10.3984375" bestFit="1" customWidth="1"/>
    <col min="3" max="3" width="7.59765625" bestFit="1" customWidth="1"/>
    <col min="4" max="4" width="21.59765625" bestFit="1" customWidth="1"/>
  </cols>
  <sheetData>
    <row r="1" spans="1:4" ht="17.5" x14ac:dyDescent="0.25">
      <c r="A1" s="11" t="s">
        <v>36</v>
      </c>
    </row>
    <row r="2" spans="1:4" x14ac:dyDescent="0.25">
      <c r="A2" s="1" t="s">
        <v>845</v>
      </c>
    </row>
    <row r="4" spans="1:4" x14ac:dyDescent="0.25">
      <c r="A4" s="18" t="s">
        <v>231</v>
      </c>
      <c r="B4" s="18" t="s">
        <v>233</v>
      </c>
      <c r="C4" t="s">
        <v>847</v>
      </c>
      <c r="D4" t="s">
        <v>848</v>
      </c>
    </row>
    <row r="5" spans="1:4" x14ac:dyDescent="0.25">
      <c r="A5" t="s">
        <v>253</v>
      </c>
      <c r="B5" t="s">
        <v>261</v>
      </c>
      <c r="C5" s="19">
        <v>179</v>
      </c>
      <c r="D5" s="16">
        <v>29176.260000000049</v>
      </c>
    </row>
    <row r="6" spans="1:4" x14ac:dyDescent="0.25">
      <c r="B6" t="s">
        <v>255</v>
      </c>
      <c r="C6" s="19">
        <v>53</v>
      </c>
      <c r="D6" s="16">
        <v>6982.9199999999983</v>
      </c>
    </row>
    <row r="7" spans="1:4" x14ac:dyDescent="0.25">
      <c r="B7" t="s">
        <v>556</v>
      </c>
      <c r="C7" s="19">
        <v>2</v>
      </c>
      <c r="D7" s="16">
        <v>0</v>
      </c>
    </row>
    <row r="8" spans="1:4" x14ac:dyDescent="0.25">
      <c r="A8" t="s">
        <v>849</v>
      </c>
      <c r="C8" s="19">
        <v>234</v>
      </c>
      <c r="D8" s="16">
        <v>36159.180000000058</v>
      </c>
    </row>
    <row r="9" spans="1:4" x14ac:dyDescent="0.25">
      <c r="A9" t="s">
        <v>657</v>
      </c>
      <c r="B9" t="s">
        <v>261</v>
      </c>
      <c r="C9" s="19">
        <v>171</v>
      </c>
      <c r="D9" s="16">
        <v>22247.530000000017</v>
      </c>
    </row>
    <row r="10" spans="1:4" x14ac:dyDescent="0.25">
      <c r="B10" t="s">
        <v>255</v>
      </c>
      <c r="C10" s="19">
        <v>32</v>
      </c>
      <c r="D10" s="16">
        <v>2745.4299999999994</v>
      </c>
    </row>
    <row r="11" spans="1:4" x14ac:dyDescent="0.25">
      <c r="B11" t="s">
        <v>556</v>
      </c>
      <c r="C11" s="19">
        <v>1</v>
      </c>
      <c r="D11" s="16">
        <v>0</v>
      </c>
    </row>
    <row r="12" spans="1:4" x14ac:dyDescent="0.25">
      <c r="A12" t="s">
        <v>850</v>
      </c>
      <c r="C12" s="19">
        <v>204</v>
      </c>
      <c r="D12" s="16">
        <v>24992.960000000032</v>
      </c>
    </row>
    <row r="13" spans="1:4" x14ac:dyDescent="0.25">
      <c r="A13" t="s">
        <v>712</v>
      </c>
      <c r="B13" t="s">
        <v>261</v>
      </c>
      <c r="C13" s="19">
        <v>84</v>
      </c>
      <c r="D13" s="16">
        <v>9121.2699999999895</v>
      </c>
    </row>
    <row r="14" spans="1:4" x14ac:dyDescent="0.25">
      <c r="B14" t="s">
        <v>255</v>
      </c>
      <c r="C14" s="19">
        <v>7</v>
      </c>
      <c r="D14" s="16">
        <v>343</v>
      </c>
    </row>
    <row r="15" spans="1:4" x14ac:dyDescent="0.25">
      <c r="A15" t="s">
        <v>851</v>
      </c>
      <c r="C15" s="19">
        <v>91</v>
      </c>
      <c r="D15" s="16">
        <v>9464.2699999999877</v>
      </c>
    </row>
    <row r="16" spans="1:4" x14ac:dyDescent="0.25">
      <c r="A16" t="s">
        <v>725</v>
      </c>
      <c r="B16" t="s">
        <v>727</v>
      </c>
      <c r="C16" s="19">
        <v>73</v>
      </c>
      <c r="D16" s="16">
        <v>12573.219999999992</v>
      </c>
    </row>
    <row r="17" spans="1:4" x14ac:dyDescent="0.25">
      <c r="A17" t="s">
        <v>852</v>
      </c>
      <c r="C17" s="19">
        <v>73</v>
      </c>
      <c r="D17" s="16">
        <v>12573.219999999992</v>
      </c>
    </row>
    <row r="18" spans="1:4" x14ac:dyDescent="0.25">
      <c r="A18" t="s">
        <v>846</v>
      </c>
      <c r="C18" s="19">
        <v>602</v>
      </c>
      <c r="D18" s="16">
        <v>83189.629999999859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9B9D-38CF-4E18-ABDD-6D28377962DB}">
  <dimension ref="A1:M19"/>
  <sheetViews>
    <sheetView workbookViewId="0">
      <pane ySplit="4" topLeftCell="A5" activePane="bottomLeft" state="frozen"/>
      <selection pane="bottomLeft" activeCell="A5" sqref="A5"/>
    </sheetView>
  </sheetViews>
  <sheetFormatPr defaultRowHeight="13.5" x14ac:dyDescent="0.25"/>
  <cols>
    <col min="1" max="1" width="15.19921875" bestFit="1" customWidth="1"/>
    <col min="2" max="2" width="49.296875" bestFit="1" customWidth="1"/>
    <col min="3" max="3" width="16.3984375" bestFit="1" customWidth="1"/>
    <col min="4" max="4" width="10.8984375" bestFit="1" customWidth="1"/>
    <col min="5" max="5" width="45.796875" bestFit="1" customWidth="1"/>
    <col min="6" max="6" width="11" bestFit="1" customWidth="1"/>
    <col min="7" max="7" width="13.296875" bestFit="1" customWidth="1"/>
    <col min="8" max="8" width="23.19921875" bestFit="1" customWidth="1"/>
    <col min="9" max="9" width="9.19921875" bestFit="1" customWidth="1"/>
    <col min="10" max="10" width="72.8984375" bestFit="1" customWidth="1"/>
    <col min="11" max="11" width="13.796875" bestFit="1" customWidth="1"/>
    <col min="12" max="12" width="16.59765625" bestFit="1" customWidth="1"/>
    <col min="13" max="13" width="15.69921875" bestFit="1" customWidth="1"/>
  </cols>
  <sheetData>
    <row r="1" spans="1:13" ht="17.5" x14ac:dyDescent="0.25">
      <c r="A1" s="11" t="s">
        <v>10</v>
      </c>
    </row>
    <row r="2" spans="1:13" x14ac:dyDescent="0.25">
      <c r="A2" s="1" t="s">
        <v>770</v>
      </c>
    </row>
    <row r="4" spans="1:13" x14ac:dyDescent="0.25">
      <c r="A4" t="s">
        <v>771</v>
      </c>
      <c r="B4" t="s">
        <v>772</v>
      </c>
      <c r="C4" t="s">
        <v>773</v>
      </c>
      <c r="D4" s="16" t="s">
        <v>774</v>
      </c>
      <c r="E4" t="s">
        <v>775</v>
      </c>
      <c r="F4" s="16" t="s">
        <v>776</v>
      </c>
      <c r="G4" s="16" t="s">
        <v>777</v>
      </c>
      <c r="H4" s="16" t="s">
        <v>778</v>
      </c>
      <c r="I4" t="s">
        <v>779</v>
      </c>
      <c r="J4" t="s">
        <v>780</v>
      </c>
      <c r="K4" s="12" t="s">
        <v>49</v>
      </c>
      <c r="L4" s="12" t="s">
        <v>50</v>
      </c>
      <c r="M4" s="12" t="s">
        <v>51</v>
      </c>
    </row>
    <row r="5" spans="1:13" x14ac:dyDescent="0.25">
      <c r="A5">
        <v>1</v>
      </c>
      <c r="B5" t="s">
        <v>781</v>
      </c>
      <c r="C5" t="s">
        <v>782</v>
      </c>
      <c r="D5" s="16">
        <v>1595</v>
      </c>
      <c r="E5" t="s">
        <v>783</v>
      </c>
      <c r="F5" s="16">
        <v>1595</v>
      </c>
      <c r="G5" s="16">
        <v>0</v>
      </c>
      <c r="H5" s="16">
        <v>0</v>
      </c>
      <c r="I5" t="s">
        <v>784</v>
      </c>
      <c r="J5" t="s">
        <v>172</v>
      </c>
      <c r="K5" s="12">
        <v>43177</v>
      </c>
      <c r="L5" s="12">
        <v>43171</v>
      </c>
      <c r="M5" s="12">
        <v>43177</v>
      </c>
    </row>
    <row r="6" spans="1:13" x14ac:dyDescent="0.25">
      <c r="A6">
        <v>2</v>
      </c>
      <c r="B6" t="s">
        <v>785</v>
      </c>
      <c r="C6" t="s">
        <v>782</v>
      </c>
      <c r="D6" s="16">
        <v>218589.17</v>
      </c>
      <c r="E6" t="s">
        <v>786</v>
      </c>
      <c r="F6" s="16">
        <v>218589.17</v>
      </c>
      <c r="G6" s="16">
        <v>0</v>
      </c>
      <c r="H6" s="16">
        <v>0</v>
      </c>
      <c r="I6" t="s">
        <v>784</v>
      </c>
      <c r="J6" t="s">
        <v>62</v>
      </c>
      <c r="K6" s="12">
        <v>43177</v>
      </c>
      <c r="L6" s="12">
        <v>43171</v>
      </c>
      <c r="M6" s="12">
        <v>43177</v>
      </c>
    </row>
    <row r="7" spans="1:13" x14ac:dyDescent="0.25">
      <c r="A7">
        <v>3</v>
      </c>
      <c r="B7" t="s">
        <v>787</v>
      </c>
      <c r="C7" t="s">
        <v>782</v>
      </c>
      <c r="D7" s="16">
        <v>38122.5</v>
      </c>
      <c r="E7" t="s">
        <v>786</v>
      </c>
      <c r="F7" s="16">
        <v>38122.5</v>
      </c>
      <c r="G7" s="16">
        <v>0</v>
      </c>
      <c r="H7" s="16">
        <v>0</v>
      </c>
      <c r="I7" t="s">
        <v>784</v>
      </c>
      <c r="J7" t="s">
        <v>62</v>
      </c>
      <c r="K7" s="12">
        <v>43177</v>
      </c>
      <c r="L7" s="12">
        <v>43171</v>
      </c>
      <c r="M7" s="12">
        <v>43177</v>
      </c>
    </row>
    <row r="8" spans="1:13" x14ac:dyDescent="0.25">
      <c r="A8">
        <v>4</v>
      </c>
      <c r="B8" t="s">
        <v>788</v>
      </c>
      <c r="C8" t="s">
        <v>782</v>
      </c>
      <c r="D8" s="16">
        <v>257300.03</v>
      </c>
      <c r="E8" t="s">
        <v>786</v>
      </c>
      <c r="F8" s="16">
        <v>257300.03</v>
      </c>
      <c r="G8" s="16">
        <v>0</v>
      </c>
      <c r="H8" s="16">
        <v>0</v>
      </c>
      <c r="I8" t="s">
        <v>784</v>
      </c>
      <c r="J8" t="s">
        <v>62</v>
      </c>
      <c r="K8" s="12">
        <v>43177</v>
      </c>
      <c r="L8" s="12">
        <v>43171</v>
      </c>
      <c r="M8" s="12">
        <v>43177</v>
      </c>
    </row>
    <row r="9" spans="1:13" x14ac:dyDescent="0.25">
      <c r="A9">
        <v>5</v>
      </c>
      <c r="B9" t="s">
        <v>789</v>
      </c>
      <c r="C9" t="s">
        <v>782</v>
      </c>
      <c r="D9" s="16">
        <v>218589.17</v>
      </c>
      <c r="E9" t="s">
        <v>790</v>
      </c>
      <c r="F9" s="16">
        <v>218589.17</v>
      </c>
      <c r="G9" s="16">
        <v>0</v>
      </c>
      <c r="H9" s="16">
        <v>0</v>
      </c>
      <c r="I9" t="s">
        <v>784</v>
      </c>
      <c r="J9" t="s">
        <v>791</v>
      </c>
      <c r="K9" s="12">
        <v>43177</v>
      </c>
      <c r="L9" s="12">
        <v>43171</v>
      </c>
      <c r="M9" s="12">
        <v>43177</v>
      </c>
    </row>
    <row r="10" spans="1:13" x14ac:dyDescent="0.25">
      <c r="A10">
        <v>6</v>
      </c>
      <c r="B10" t="s">
        <v>792</v>
      </c>
      <c r="C10" t="s">
        <v>782</v>
      </c>
      <c r="D10" s="16">
        <v>38122.5</v>
      </c>
      <c r="E10" t="s">
        <v>790</v>
      </c>
      <c r="F10" s="16">
        <v>38122.5</v>
      </c>
      <c r="G10" s="16">
        <v>0</v>
      </c>
      <c r="H10" s="16">
        <v>0</v>
      </c>
      <c r="I10" t="s">
        <v>784</v>
      </c>
      <c r="J10" t="s">
        <v>791</v>
      </c>
      <c r="K10" s="12">
        <v>43177</v>
      </c>
      <c r="L10" s="12">
        <v>43171</v>
      </c>
      <c r="M10" s="12">
        <v>43177</v>
      </c>
    </row>
    <row r="11" spans="1:13" x14ac:dyDescent="0.25">
      <c r="A11">
        <v>7</v>
      </c>
      <c r="B11" t="s">
        <v>793</v>
      </c>
      <c r="C11" t="s">
        <v>782</v>
      </c>
      <c r="D11" s="16">
        <v>1483</v>
      </c>
      <c r="E11" t="s">
        <v>794</v>
      </c>
      <c r="F11" s="16">
        <v>1483</v>
      </c>
      <c r="G11" s="16">
        <v>0</v>
      </c>
      <c r="H11" s="16">
        <v>0</v>
      </c>
      <c r="I11" t="s">
        <v>784</v>
      </c>
      <c r="J11" t="s">
        <v>795</v>
      </c>
      <c r="K11" s="12">
        <v>43177</v>
      </c>
      <c r="L11" s="12">
        <v>43171</v>
      </c>
      <c r="M11" s="12">
        <v>43177</v>
      </c>
    </row>
    <row r="12" spans="1:13" x14ac:dyDescent="0.25">
      <c r="A12">
        <v>8</v>
      </c>
      <c r="B12" t="s">
        <v>796</v>
      </c>
      <c r="C12" t="s">
        <v>782</v>
      </c>
      <c r="D12" s="16">
        <v>182</v>
      </c>
      <c r="E12" t="s">
        <v>797</v>
      </c>
      <c r="F12" s="16">
        <v>182</v>
      </c>
      <c r="G12" s="16">
        <v>0</v>
      </c>
      <c r="H12" s="16">
        <v>0</v>
      </c>
      <c r="I12" t="s">
        <v>784</v>
      </c>
      <c r="J12" t="s">
        <v>798</v>
      </c>
      <c r="K12" s="12">
        <v>43177</v>
      </c>
      <c r="L12" s="12">
        <v>43171</v>
      </c>
      <c r="M12" s="12">
        <v>43177</v>
      </c>
    </row>
    <row r="13" spans="1:13" x14ac:dyDescent="0.25">
      <c r="A13">
        <v>9</v>
      </c>
      <c r="B13" t="s">
        <v>799</v>
      </c>
      <c r="C13" t="s">
        <v>782</v>
      </c>
      <c r="D13" s="16">
        <v>1483</v>
      </c>
      <c r="E13" t="s">
        <v>800</v>
      </c>
      <c r="F13" s="16">
        <v>1483</v>
      </c>
      <c r="G13" s="16">
        <v>0</v>
      </c>
      <c r="H13" s="16">
        <v>0</v>
      </c>
      <c r="I13" t="s">
        <v>784</v>
      </c>
      <c r="J13" t="s">
        <v>801</v>
      </c>
      <c r="K13" s="12">
        <v>43177</v>
      </c>
      <c r="L13" s="12">
        <v>43171</v>
      </c>
      <c r="M13" s="12">
        <v>43177</v>
      </c>
    </row>
    <row r="14" spans="1:13" x14ac:dyDescent="0.25">
      <c r="A14">
        <v>10</v>
      </c>
      <c r="B14" t="s">
        <v>802</v>
      </c>
      <c r="C14" t="s">
        <v>782</v>
      </c>
      <c r="D14" s="16">
        <v>182</v>
      </c>
      <c r="E14" t="s">
        <v>800</v>
      </c>
      <c r="F14" s="16">
        <v>182</v>
      </c>
      <c r="G14" s="16">
        <v>0</v>
      </c>
      <c r="H14" s="16">
        <v>0</v>
      </c>
      <c r="I14" t="s">
        <v>784</v>
      </c>
      <c r="J14" t="s">
        <v>172</v>
      </c>
      <c r="K14" s="12">
        <v>43177</v>
      </c>
      <c r="L14" s="12">
        <v>43171</v>
      </c>
      <c r="M14" s="12">
        <v>43177</v>
      </c>
    </row>
    <row r="15" spans="1:13" x14ac:dyDescent="0.25">
      <c r="A15">
        <v>11</v>
      </c>
      <c r="B15" t="s">
        <v>803</v>
      </c>
      <c r="C15" t="s">
        <v>782</v>
      </c>
      <c r="D15" s="16">
        <v>6327</v>
      </c>
      <c r="E15" t="s">
        <v>804</v>
      </c>
      <c r="F15" s="16">
        <v>6327</v>
      </c>
      <c r="G15" s="16">
        <v>0</v>
      </c>
      <c r="H15" s="16">
        <v>0</v>
      </c>
      <c r="I15" t="s">
        <v>784</v>
      </c>
      <c r="J15" t="s">
        <v>172</v>
      </c>
      <c r="K15" s="12">
        <v>43177</v>
      </c>
      <c r="L15" s="12">
        <v>43171</v>
      </c>
      <c r="M15" s="12">
        <v>43177</v>
      </c>
    </row>
    <row r="16" spans="1:13" x14ac:dyDescent="0.25">
      <c r="A16">
        <v>12</v>
      </c>
      <c r="B16" t="s">
        <v>805</v>
      </c>
      <c r="C16" t="s">
        <v>782</v>
      </c>
      <c r="D16" s="16">
        <v>529</v>
      </c>
      <c r="E16" t="s">
        <v>806</v>
      </c>
      <c r="F16" s="16">
        <v>529</v>
      </c>
      <c r="G16" s="16">
        <v>0</v>
      </c>
      <c r="H16" s="16">
        <v>0</v>
      </c>
      <c r="I16" t="s">
        <v>784</v>
      </c>
      <c r="J16" t="s">
        <v>807</v>
      </c>
      <c r="K16" s="12">
        <v>43177</v>
      </c>
      <c r="L16" s="12">
        <v>43171</v>
      </c>
      <c r="M16" s="12">
        <v>43177</v>
      </c>
    </row>
    <row r="17" spans="1:13" x14ac:dyDescent="0.25">
      <c r="A17">
        <v>13</v>
      </c>
      <c r="B17" t="s">
        <v>808</v>
      </c>
      <c r="C17" t="s">
        <v>809</v>
      </c>
      <c r="D17" s="16">
        <v>602</v>
      </c>
      <c r="E17" t="s">
        <v>810</v>
      </c>
      <c r="F17" s="16">
        <v>602</v>
      </c>
      <c r="G17" s="16">
        <v>0</v>
      </c>
      <c r="H17" s="16">
        <v>0</v>
      </c>
      <c r="I17" t="s">
        <v>784</v>
      </c>
      <c r="J17" t="s">
        <v>172</v>
      </c>
      <c r="K17" s="12">
        <v>43177</v>
      </c>
      <c r="L17" s="12">
        <v>43171</v>
      </c>
      <c r="M17" s="12">
        <v>43177</v>
      </c>
    </row>
    <row r="18" spans="1:13" x14ac:dyDescent="0.25">
      <c r="A18">
        <v>14</v>
      </c>
      <c r="B18" t="s">
        <v>811</v>
      </c>
      <c r="C18" t="s">
        <v>782</v>
      </c>
      <c r="D18" s="16">
        <v>602</v>
      </c>
      <c r="E18" t="s">
        <v>809</v>
      </c>
      <c r="F18" s="16">
        <v>602</v>
      </c>
      <c r="G18" s="16">
        <v>0</v>
      </c>
      <c r="H18" s="16">
        <v>0</v>
      </c>
      <c r="I18" t="s">
        <v>784</v>
      </c>
      <c r="J18" t="s">
        <v>172</v>
      </c>
      <c r="K18" s="12">
        <v>43177</v>
      </c>
      <c r="L18" s="12">
        <v>43171</v>
      </c>
      <c r="M18" s="12">
        <v>43177</v>
      </c>
    </row>
    <row r="19" spans="1:13" x14ac:dyDescent="0.25">
      <c r="A19">
        <v>15</v>
      </c>
      <c r="B19" t="s">
        <v>812</v>
      </c>
      <c r="C19" t="s">
        <v>782</v>
      </c>
      <c r="D19" s="16">
        <v>83189.63</v>
      </c>
      <c r="E19" t="s">
        <v>790</v>
      </c>
      <c r="F19" s="16">
        <v>83189.63</v>
      </c>
      <c r="G19" s="16">
        <v>0</v>
      </c>
      <c r="H19" s="16">
        <v>0</v>
      </c>
      <c r="I19" t="s">
        <v>784</v>
      </c>
      <c r="J19" t="s">
        <v>791</v>
      </c>
      <c r="K19" s="12">
        <v>43177</v>
      </c>
      <c r="L19" s="12">
        <v>43171</v>
      </c>
      <c r="M19" s="12">
        <v>43177</v>
      </c>
    </row>
  </sheetData>
  <phoneticPr fontId="6" type="noConversion"/>
  <conditionalFormatting sqref="I5:I19">
    <cfRule type="cellIs" dxfId="29" priority="1" stopIfTrue="1" operator="equal">
      <formula>"PASS"</formula>
    </cfRule>
    <cfRule type="cellIs" dxfId="28" priority="2" stopIfTrue="1" operator="notEqual">
      <formula>"PASS"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7BDE-67DA-4F14-9344-C0B2473C938C}">
  <dimension ref="A1:B23"/>
  <sheetViews>
    <sheetView workbookViewId="0">
      <pane ySplit="4" topLeftCell="A5" activePane="bottomLeft" state="frozen"/>
      <selection pane="bottomLeft" activeCell="A5" sqref="A5"/>
    </sheetView>
  </sheetViews>
  <sheetFormatPr defaultRowHeight="13.5" x14ac:dyDescent="0.25"/>
  <cols>
    <col min="1" max="1" width="33.59765625" bestFit="1" customWidth="1"/>
    <col min="2" max="2" width="67.69921875" bestFit="1" customWidth="1"/>
  </cols>
  <sheetData>
    <row r="1" spans="1:2" ht="17.5" x14ac:dyDescent="0.25">
      <c r="A1" s="11" t="s">
        <v>39</v>
      </c>
    </row>
    <row r="2" spans="1:2" x14ac:dyDescent="0.25">
      <c r="A2" s="1" t="s">
        <v>813</v>
      </c>
    </row>
    <row r="4" spans="1:2" x14ac:dyDescent="0.25">
      <c r="A4" t="s">
        <v>814</v>
      </c>
      <c r="B4" t="s">
        <v>46</v>
      </c>
    </row>
    <row r="5" spans="1:2" x14ac:dyDescent="0.25">
      <c r="A5" t="s">
        <v>815</v>
      </c>
      <c r="B5" t="s">
        <v>1634</v>
      </c>
    </row>
    <row r="6" spans="1:2" x14ac:dyDescent="0.25">
      <c r="A6" t="s">
        <v>816</v>
      </c>
      <c r="B6" t="s">
        <v>1635</v>
      </c>
    </row>
    <row r="7" spans="1:2" x14ac:dyDescent="0.25">
      <c r="A7" t="s">
        <v>817</v>
      </c>
      <c r="B7" t="s">
        <v>1636</v>
      </c>
    </row>
    <row r="8" spans="1:2" x14ac:dyDescent="0.25">
      <c r="A8" t="s">
        <v>818</v>
      </c>
      <c r="B8" t="s">
        <v>1635</v>
      </c>
    </row>
    <row r="9" spans="1:2" x14ac:dyDescent="0.25">
      <c r="A9" t="s">
        <v>819</v>
      </c>
      <c r="B9" t="s">
        <v>1637</v>
      </c>
    </row>
    <row r="10" spans="1:2" x14ac:dyDescent="0.25">
      <c r="A10" t="s">
        <v>820</v>
      </c>
      <c r="B10" t="s">
        <v>821</v>
      </c>
    </row>
    <row r="11" spans="1:2" x14ac:dyDescent="0.25">
      <c r="A11" t="s">
        <v>822</v>
      </c>
      <c r="B11" t="s">
        <v>823</v>
      </c>
    </row>
    <row r="12" spans="1:2" x14ac:dyDescent="0.25">
      <c r="A12" t="s">
        <v>824</v>
      </c>
      <c r="B12" t="s">
        <v>825</v>
      </c>
    </row>
    <row r="13" spans="1:2" x14ac:dyDescent="0.25">
      <c r="A13" t="s">
        <v>826</v>
      </c>
      <c r="B13" t="s">
        <v>825</v>
      </c>
    </row>
    <row r="14" spans="1:2" x14ac:dyDescent="0.25">
      <c r="A14" t="s">
        <v>827</v>
      </c>
      <c r="B14" t="s">
        <v>828</v>
      </c>
    </row>
    <row r="15" spans="1:2" x14ac:dyDescent="0.25">
      <c r="A15" t="s">
        <v>829</v>
      </c>
      <c r="B15" t="s">
        <v>830</v>
      </c>
    </row>
    <row r="16" spans="1:2" x14ac:dyDescent="0.25">
      <c r="A16" t="s">
        <v>831</v>
      </c>
      <c r="B16" t="s">
        <v>832</v>
      </c>
    </row>
    <row r="17" spans="1:2" x14ac:dyDescent="0.25">
      <c r="A17" t="s">
        <v>833</v>
      </c>
      <c r="B17" t="s">
        <v>853</v>
      </c>
    </row>
    <row r="18" spans="1:2" x14ac:dyDescent="0.25">
      <c r="A18" t="s">
        <v>834</v>
      </c>
      <c r="B18" t="s">
        <v>1638</v>
      </c>
    </row>
    <row r="19" spans="1:2" x14ac:dyDescent="0.25">
      <c r="A19" t="s">
        <v>835</v>
      </c>
      <c r="B19" t="s">
        <v>836</v>
      </c>
    </row>
    <row r="20" spans="1:2" x14ac:dyDescent="0.25">
      <c r="A20" t="s">
        <v>837</v>
      </c>
      <c r="B20" t="s">
        <v>838</v>
      </c>
    </row>
    <row r="21" spans="1:2" x14ac:dyDescent="0.25">
      <c r="A21" t="s">
        <v>839</v>
      </c>
      <c r="B21" t="s">
        <v>840</v>
      </c>
    </row>
    <row r="22" spans="1:2" x14ac:dyDescent="0.25">
      <c r="A22" t="s">
        <v>841</v>
      </c>
      <c r="B22" t="s">
        <v>842</v>
      </c>
    </row>
    <row r="23" spans="1:2" x14ac:dyDescent="0.25">
      <c r="A23" t="s">
        <v>843</v>
      </c>
      <c r="B23" t="s">
        <v>844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BAF90-A4E0-4EAC-885E-006F77215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 Me</vt:lpstr>
      <vt:lpstr>Weekly Summary</vt:lpstr>
      <vt:lpstr>Route Diagnosis</vt:lpstr>
      <vt:lpstr>Exceptions</vt:lpstr>
      <vt:lpstr>Exception Pivot</vt:lpstr>
      <vt:lpstr>Reconciliation</vt:lpstr>
      <vt:lpstr>Run Info</vt:lpstr>
      <vt:lpstr>OutputFolder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2026-10-20T12:59:22Z</dcterms:created>
  <dcterms:modified xsi:type="dcterms:W3CDTF">2026-10-20T13:05:12Z</dcterms:modified>
</cp:coreProperties>
</file>